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ативы" sheetId="1" state="visible" r:id="rId1"/>
    <sheet xmlns:r="http://schemas.openxmlformats.org/officeDocument/2006/relationships" name="ЭЦН" sheetId="2" state="visible" r:id="rId2"/>
  </sheets>
  <definedNames>
    <definedName name="_xlnm._FilterDatabase" localSheetId="0" hidden="1">'Нормативы'!$A$1:$F$20</definedName>
    <definedName name="_xlnm._FilterDatabase" localSheetId="1" hidden="1">'ЭЦН'!$A$1:$D$13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0C0"/>
    </font>
    <font>
      <b val="1"/>
      <color rgb="00C00000"/>
    </font>
    <font>
      <color rgb="000070C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7324D"/>
      </bottom>
    </border>
    <border>
      <bottom style="thin">
        <color rgb="00CAD6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3" customWidth="1" min="2" max="2"/>
    <col width="18" customWidth="1" min="3" max="3"/>
    <col width="20" customWidth="1" min="4" max="4"/>
    <col width="16" customWidth="1" min="5" max="5"/>
    <col width="64" customWidth="1" min="6" max="6"/>
  </cols>
  <sheetData>
    <row r="1" ht="36" customHeight="1">
      <c r="A1" s="1" t="inlineStr">
        <is>
          <t>Код</t>
        </is>
      </c>
      <c r="B1" s="1" t="inlineStr">
        <is>
          <t>Параметр</t>
        </is>
      </c>
      <c r="C1" s="1" t="inlineStr">
        <is>
          <t>Значение</t>
        </is>
      </c>
      <c r="D1" s="1" t="inlineStr">
        <is>
          <t>Ед. изм.</t>
        </is>
      </c>
      <c r="E1" s="1" t="inlineStr">
        <is>
          <t>Можно менять</t>
        </is>
      </c>
      <c r="F1" s="1" t="inlineStr">
        <is>
          <t>Комментарий методики</t>
        </is>
      </c>
    </row>
    <row r="2">
      <c r="A2" s="2" t="inlineStr">
        <is>
          <t>oilPriceRubT</t>
        </is>
      </c>
      <c r="B2" s="2" t="inlineStr">
        <is>
          <t>Приведенная цена реализации нефти</t>
        </is>
      </c>
      <c r="C2" s="3" t="n">
        <v>28000</v>
      </c>
      <c r="D2" s="2" t="inlineStr">
        <is>
          <t>руб./т</t>
        </is>
      </c>
      <c r="E2" s="2" t="inlineStr">
        <is>
          <t>ДА</t>
        </is>
      </c>
      <c r="F2" s="2" t="inlineStr">
        <is>
          <t>Единый норматив на весь горизонт.</t>
        </is>
      </c>
    </row>
    <row r="3">
      <c r="A3" s="2" t="inlineStr">
        <is>
          <t>deductionsRubT</t>
        </is>
      </c>
      <c r="B3" s="2" t="inlineStr">
        <is>
          <t>Отчисления на тонну нефти</t>
        </is>
      </c>
      <c r="C3" s="3" t="n">
        <v>19600</v>
      </c>
      <c r="D3" s="2" t="inlineStr">
        <is>
          <t>руб./т</t>
        </is>
      </c>
      <c r="E3" s="2" t="inlineStr">
        <is>
          <t>ДА</t>
        </is>
      </c>
      <c r="F3" s="2" t="inlineStr">
        <is>
          <t>Вычитаются при расчете EBITDA и налоговой базы.</t>
        </is>
      </c>
    </row>
    <row r="4">
      <c r="A4" s="2" t="inlineStr">
        <is>
          <t>oilOpexRubT</t>
        </is>
      </c>
      <c r="B4" s="2" t="inlineStr">
        <is>
          <t>OPEX на добычу нефти</t>
        </is>
      </c>
      <c r="C4" s="3" t="n">
        <v>40</v>
      </c>
      <c r="D4" s="2" t="inlineStr">
        <is>
          <t>руб./т</t>
        </is>
      </c>
      <c r="E4" s="2" t="inlineStr">
        <is>
          <t>ДА</t>
        </is>
      </c>
      <c r="F4" s="2" t="inlineStr">
        <is>
          <t>Переменные затраты по нефти.</t>
        </is>
      </c>
    </row>
    <row r="5">
      <c r="A5" s="2" t="inlineStr">
        <is>
          <t>liquidOpexRubT</t>
        </is>
      </c>
      <c r="B5" s="2" t="inlineStr">
        <is>
          <t>OPEX на добычу жидкости</t>
        </is>
      </c>
      <c r="C5" s="3" t="n">
        <v>100</v>
      </c>
      <c r="D5" s="2" t="inlineStr">
        <is>
          <t>руб./т</t>
        </is>
      </c>
      <c r="E5" s="2" t="inlineStr">
        <is>
          <t>ДА</t>
        </is>
      </c>
      <c r="F5" s="2" t="inlineStr">
        <is>
          <t>Переменные затраты по жидкости.</t>
        </is>
      </c>
    </row>
    <row r="6">
      <c r="A6" s="2" t="inlineStr">
        <is>
          <t>injectionOpexRubM3</t>
        </is>
      </c>
      <c r="B6" s="2" t="inlineStr">
        <is>
          <t>OPEX на закачку воды</t>
        </is>
      </c>
      <c r="C6" s="3" t="n">
        <v>30</v>
      </c>
      <c r="D6" s="2" t="inlineStr">
        <is>
          <t>руб./м³</t>
        </is>
      </c>
      <c r="E6" s="2" t="inlineStr">
        <is>
          <t>ДА</t>
        </is>
      </c>
      <c r="F6" s="2" t="inlineStr">
        <is>
          <t>Переменные затраты по закачке.</t>
        </is>
      </c>
    </row>
    <row r="7">
      <c r="A7" s="2" t="inlineStr">
        <is>
          <t>fundAnnualRubWell</t>
        </is>
      </c>
      <c r="B7" s="2" t="inlineStr">
        <is>
          <t>Содержание действующего фонда</t>
        </is>
      </c>
      <c r="C7" s="3" t="n">
        <v>1000000</v>
      </c>
      <c r="D7" s="2" t="inlineStr">
        <is>
          <t>руб./скв.-год</t>
        </is>
      </c>
      <c r="E7" s="2" t="inlineStr">
        <is>
          <t>ДА</t>
        </is>
      </c>
      <c r="F7" s="2" t="inlineStr">
        <is>
          <t>Начисляется за каждый активный скважино-месяц.</t>
        </is>
      </c>
    </row>
    <row r="8">
      <c r="A8" s="2" t="inlineStr">
        <is>
          <t>pumpOperationCostM</t>
        </is>
      </c>
      <c r="B8" s="2" t="inlineStr">
        <is>
          <t>Операция по смене ЭЦН</t>
        </is>
      </c>
      <c r="C8" s="3" t="n">
        <v>1.8</v>
      </c>
      <c r="D8" s="2" t="inlineStr">
        <is>
          <t>млн руб./операцию</t>
        </is>
      </c>
      <c r="E8" s="2" t="inlineStr">
        <is>
          <t>ДА</t>
        </is>
      </c>
      <c r="F8" s="2" t="inlineStr">
        <is>
          <t>OPEX, отдельно от CAPEX нового насоса.</t>
        </is>
      </c>
    </row>
    <row r="9">
      <c r="A9" s="2" t="inlineStr">
        <is>
          <t>stopStartCostM</t>
        </is>
      </c>
      <c r="B9" s="2" t="inlineStr">
        <is>
          <t>Остановка или запуск скважины</t>
        </is>
      </c>
      <c r="C9" s="4" t="n">
        <v>1</v>
      </c>
      <c r="D9" s="2" t="inlineStr">
        <is>
          <t>млн руб./событие</t>
        </is>
      </c>
      <c r="E9" s="5" t="inlineStr">
        <is>
          <t>НЕТ</t>
        </is>
      </c>
      <c r="F9" s="2" t="inlineStr">
        <is>
          <t>Зафиксировано методикой: остановка и последующий запуск — два платных события.</t>
        </is>
      </c>
    </row>
    <row r="10">
      <c r="A10" s="2" t="inlineStr">
        <is>
          <t>conversionBaseCostM</t>
        </is>
      </c>
      <c r="B10" s="2" t="inlineStr">
        <is>
          <t>Перевод добывающей скважины под закачку</t>
        </is>
      </c>
      <c r="C10" s="4" t="n">
        <v>5</v>
      </c>
      <c r="D10" s="2" t="inlineStr">
        <is>
          <t>млн руб./перевод</t>
        </is>
      </c>
      <c r="E10" s="5" t="inlineStr">
        <is>
          <t>НЕТ</t>
        </is>
      </c>
      <c r="F10" s="2" t="inlineStr">
        <is>
          <t>Зафиксировано методикой; без отдельной платы за остановку и без старого ЭЦН.</t>
        </is>
      </c>
    </row>
    <row r="11">
      <c r="A11" s="2" t="inlineStr">
        <is>
          <t>profitTaxRate</t>
        </is>
      </c>
      <c r="B11" s="2" t="inlineStr">
        <is>
          <t>Ставка налога на прибыль</t>
        </is>
      </c>
      <c r="C11" s="3" t="n">
        <v>25</v>
      </c>
      <c r="D11" s="2" t="inlineStr">
        <is>
          <t>%</t>
        </is>
      </c>
      <c r="E11" s="2" t="inlineStr">
        <is>
          <t>ДА</t>
        </is>
      </c>
      <c r="F11" s="2" t="inlineStr">
        <is>
          <t>Налог = max(0; годовая налоговая база) × ставка.</t>
        </is>
      </c>
    </row>
    <row r="12">
      <c r="A12" s="2" t="inlineStr">
        <is>
          <t>propertyTaxRate</t>
        </is>
      </c>
      <c r="B12" s="2" t="inlineStr">
        <is>
          <t>Ставка налога на имущество</t>
        </is>
      </c>
      <c r="C12" s="3" t="n">
        <v>2.2</v>
      </c>
      <c r="D12" s="2" t="inlineStr">
        <is>
          <t>%</t>
        </is>
      </c>
      <c r="E12" s="2" t="inlineStr">
        <is>
          <t>ДА</t>
        </is>
      </c>
      <c r="F12" s="2" t="inlineStr">
        <is>
          <t>От средней остаточной стоимости.</t>
        </is>
      </c>
    </row>
    <row r="13">
      <c r="A13" s="2" t="inlineStr">
        <is>
          <t>waccRate</t>
        </is>
      </c>
      <c r="B13" s="2" t="inlineStr">
        <is>
          <t>Ставка дисконтирования WACC</t>
        </is>
      </c>
      <c r="C13" s="3" t="n">
        <v>10</v>
      </c>
      <c r="D13" s="2" t="inlineStr">
        <is>
          <t>%</t>
        </is>
      </c>
      <c r="E13" s="2" t="inlineStr">
        <is>
          <t>ДА</t>
        </is>
      </c>
      <c r="F13" s="2" t="inlineStr">
        <is>
          <t>Для стартового года DF = 1.</t>
        </is>
      </c>
    </row>
    <row r="14">
      <c r="A14" s="2" t="inlineStr">
        <is>
          <t>annualDepreciationM</t>
        </is>
      </c>
      <c r="B14" s="2" t="inlineStr">
        <is>
          <t>Годовая амортизация</t>
        </is>
      </c>
      <c r="C14" s="3" t="n">
        <v>0</v>
      </c>
      <c r="D14" s="2" t="inlineStr">
        <is>
          <t>млн руб./год</t>
        </is>
      </c>
      <c r="E14" s="2" t="inlineStr">
        <is>
          <t>ДА</t>
        </is>
      </c>
      <c r="F14" s="2" t="inlineStr">
        <is>
          <t>Распределяется по имеющимся месяцам как 1/12.</t>
        </is>
      </c>
    </row>
    <row r="15">
      <c r="A15" s="2" t="inlineStr">
        <is>
          <t>residualStartM</t>
        </is>
      </c>
      <c r="B15" s="2" t="inlineStr">
        <is>
          <t>Остаточная стоимость на начало года</t>
        </is>
      </c>
      <c r="C15" s="3" t="n">
        <v>0</v>
      </c>
      <c r="D15" s="2" t="inlineStr">
        <is>
          <t>млн руб.</t>
        </is>
      </c>
      <c r="E15" s="2" t="inlineStr">
        <is>
          <t>ДА</t>
        </is>
      </c>
      <c r="F15" s="2" t="inlineStr">
        <is>
          <t>Единая величина по годам, если задана.</t>
        </is>
      </c>
    </row>
    <row r="16">
      <c r="A16" s="2" t="inlineStr">
        <is>
          <t>residualEndM</t>
        </is>
      </c>
      <c r="B16" s="2" t="inlineStr">
        <is>
          <t>Остаточная стоимость на конец года</t>
        </is>
      </c>
      <c r="C16" s="3" t="n">
        <v>0</v>
      </c>
      <c r="D16" s="2" t="inlineStr">
        <is>
          <t>млн руб.</t>
        </is>
      </c>
      <c r="E16" s="2" t="inlineStr">
        <is>
          <t>ДА</t>
        </is>
      </c>
      <c r="F16" s="2" t="inlineStr">
        <is>
          <t>Единая величина по годам, если задана.</t>
        </is>
      </c>
    </row>
    <row r="17">
      <c r="A17" s="2" t="inlineStr">
        <is>
          <t>otherIncludedEbitdaM</t>
        </is>
      </c>
      <c r="B17" s="2" t="inlineStr">
        <is>
          <t>Прочие ДиР, включаемые в EBITDA</t>
        </is>
      </c>
      <c r="C17" s="3" t="n">
        <v>0</v>
      </c>
      <c r="D17" s="2" t="inlineStr">
        <is>
          <t>млн руб./год</t>
        </is>
      </c>
      <c r="E17" s="2" t="inlineStr">
        <is>
          <t>ДА</t>
        </is>
      </c>
      <c r="F17" s="2" t="inlineStr">
        <is>
          <t>Вычитаются из EBITDA и налоговой базы.</t>
        </is>
      </c>
    </row>
    <row r="18">
      <c r="A18" s="2" t="inlineStr">
        <is>
          <t>otherExcludedEbitdaM</t>
        </is>
      </c>
      <c r="B18" s="2" t="inlineStr">
        <is>
          <t>Прочие ДиР, не включаемые в EBITDA</t>
        </is>
      </c>
      <c r="C18" s="3" t="n">
        <v>0</v>
      </c>
      <c r="D18" s="2" t="inlineStr">
        <is>
          <t>млн руб./год</t>
        </is>
      </c>
      <c r="E18" s="2" t="inlineStr">
        <is>
          <t>ДА</t>
        </is>
      </c>
      <c r="F18" s="2" t="inlineStr">
        <is>
          <t>Вычитаются только из налоговой базы.</t>
        </is>
      </c>
    </row>
    <row r="19">
      <c r="A19" s="2" t="inlineStr">
        <is>
          <t>chargeInitialPump</t>
        </is>
      </c>
      <c r="B19" s="2" t="inlineStr">
        <is>
          <t>Начислять начальный ЭЦН</t>
        </is>
      </c>
      <c r="C19" s="3" t="inlineStr">
        <is>
          <t>НЕТ</t>
        </is>
      </c>
      <c r="D19" s="2" t="inlineStr">
        <is>
          <t>да/нет</t>
        </is>
      </c>
      <c r="E19" s="2" t="inlineStr">
        <is>
          <t>ДА</t>
        </is>
      </c>
      <c r="F19" s="2" t="inlineStr">
        <is>
          <t>По умолчанию существующий на старте ЭЦН не оплачивается.</t>
        </is>
      </c>
    </row>
    <row r="20">
      <c r="A20" s="2" t="inlineStr">
        <is>
          <t>downsizeThreshold</t>
        </is>
      </c>
      <c r="B20" s="2" t="inlineStr">
        <is>
          <t>Порог уменьшения типоразмера ЭЦН</t>
        </is>
      </c>
      <c r="C20" s="4" t="n">
        <v>100</v>
      </c>
      <c r="D20" s="2" t="inlineStr">
        <is>
          <t>м³/сут</t>
        </is>
      </c>
      <c r="E20" s="5" t="inlineStr">
        <is>
          <t>НЕТ</t>
        </is>
      </c>
      <c r="F20" s="2" t="inlineStr">
        <is>
          <t>Зафиксировано методикой: замена вниз только при превышении 100 м³/сут.</t>
        </is>
      </c>
    </row>
  </sheetData>
  <autoFilter ref="A1:F20"/>
  <dataValidations count="1">
    <dataValidation sqref="C19" showDropDown="0" showInputMessage="0" showErrorMessage="0" allowBlank="0" type="list">
      <formula1>"ДА,НЕТ"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34" customWidth="1" min="4" max="4"/>
  </cols>
  <sheetData>
    <row r="1" ht="36" customHeight="1">
      <c r="A1" s="1" t="inlineStr">
        <is>
          <t>Номинал, м³/сут</t>
        </is>
      </c>
      <c r="B1" s="1" t="inlineStr">
        <is>
          <t>Минимум, м³/сут</t>
        </is>
      </c>
      <c r="C1" s="1" t="inlineStr">
        <is>
          <t>Максимум, м³/сут</t>
        </is>
      </c>
      <c r="D1" s="1" t="inlineStr">
        <is>
          <t>Стоимость нового ЭЦН, млн руб.</t>
        </is>
      </c>
    </row>
    <row r="2">
      <c r="A2" s="6" t="n">
        <v>15</v>
      </c>
      <c r="B2" s="6" t="n">
        <v>0</v>
      </c>
      <c r="C2" s="6" t="n">
        <v>20</v>
      </c>
      <c r="D2" s="7" t="n">
        <v>0.55</v>
      </c>
    </row>
    <row r="3">
      <c r="A3" s="6" t="n">
        <v>20</v>
      </c>
      <c r="B3" s="6" t="n">
        <v>15</v>
      </c>
      <c r="C3" s="6" t="n">
        <v>30</v>
      </c>
      <c r="D3" s="7" t="n">
        <v>0.65</v>
      </c>
    </row>
    <row r="4">
      <c r="A4" s="6" t="n">
        <v>30</v>
      </c>
      <c r="B4" s="6" t="n">
        <v>20</v>
      </c>
      <c r="C4" s="6" t="n">
        <v>50</v>
      </c>
      <c r="D4" s="7" t="n">
        <v>0.75</v>
      </c>
    </row>
    <row r="5">
      <c r="A5" s="6" t="n">
        <v>50</v>
      </c>
      <c r="B5" s="6" t="n">
        <v>30</v>
      </c>
      <c r="C5" s="6" t="n">
        <v>80</v>
      </c>
      <c r="D5" s="7" t="n">
        <v>0.9039700000000001</v>
      </c>
    </row>
    <row r="6">
      <c r="A6" s="6" t="n">
        <v>80</v>
      </c>
      <c r="B6" s="6" t="n">
        <v>50</v>
      </c>
      <c r="C6" s="6" t="n">
        <v>100</v>
      </c>
      <c r="D6" s="7" t="n">
        <v>1.85</v>
      </c>
    </row>
    <row r="7">
      <c r="A7" s="6" t="n">
        <v>100</v>
      </c>
      <c r="B7" s="6" t="n">
        <v>80</v>
      </c>
      <c r="C7" s="6" t="n">
        <v>125</v>
      </c>
      <c r="D7" s="7" t="n">
        <v>2.3</v>
      </c>
    </row>
    <row r="8">
      <c r="A8" s="6" t="n">
        <v>125</v>
      </c>
      <c r="B8" s="6" t="n">
        <v>100</v>
      </c>
      <c r="C8" s="6" t="n">
        <v>160</v>
      </c>
      <c r="D8" s="7" t="n">
        <v>2.75</v>
      </c>
    </row>
    <row r="9">
      <c r="A9" s="6" t="n">
        <v>160</v>
      </c>
      <c r="B9" s="6" t="n">
        <v>125</v>
      </c>
      <c r="C9" s="6" t="n">
        <v>210</v>
      </c>
      <c r="D9" s="7" t="n">
        <v>3.35</v>
      </c>
    </row>
    <row r="10">
      <c r="A10" s="6" t="n">
        <v>210</v>
      </c>
      <c r="B10" s="6" t="n">
        <v>160</v>
      </c>
      <c r="C10" s="6" t="n">
        <v>250</v>
      </c>
      <c r="D10" s="7" t="n">
        <v>4.1</v>
      </c>
    </row>
    <row r="11">
      <c r="A11" s="6" t="n">
        <v>250</v>
      </c>
      <c r="B11" s="6" t="n">
        <v>210</v>
      </c>
      <c r="C11" s="6" t="n">
        <v>320</v>
      </c>
      <c r="D11" s="7" t="n">
        <v>4.75</v>
      </c>
    </row>
    <row r="12">
      <c r="A12" s="6" t="n">
        <v>320</v>
      </c>
      <c r="B12" s="6" t="n">
        <v>250</v>
      </c>
      <c r="C12" s="6" t="n">
        <v>400</v>
      </c>
      <c r="D12" s="7" t="n">
        <v>6</v>
      </c>
    </row>
    <row r="13">
      <c r="A13" s="6" t="n">
        <v>400</v>
      </c>
      <c r="B13" s="6" t="n">
        <v>320</v>
      </c>
      <c r="C13" s="6" t="n">
        <v>500</v>
      </c>
      <c r="D13" s="7" t="n">
        <v>8.050000000000001</v>
      </c>
    </row>
  </sheetData>
  <autoFilter ref="A1:D13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2026-08-13T09:16:26Z</dcterms:created>
  <dcterms:modified xmlns:dcterms="http://purl.org/dc/terms/" xmlns:xsi="http://www.w3.org/2001/XMLSchema-instance" xsi:type="dcterms:W3CDTF">2026-08-13T09:16:26Z</dcterms:modified>
</cp:coreProperties>
</file>