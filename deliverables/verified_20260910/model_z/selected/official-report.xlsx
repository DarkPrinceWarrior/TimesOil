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ДД по годам" sheetId="1" state="visible" r:id="rId1"/>
  </sheets>
  <definedNames>
    <definedName name="_xlnm.Print_Area" localSheetId="0">'ЧДД по годам'!$A$1:$V$75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#,##0.000;[Red]-#,##0.000;–"/>
    <numFmt numFmtId="165" formatCode="#,##0;[Red]-#,##0;–"/>
    <numFmt numFmtId="166" formatCode="0.0&quot;%&quot;"/>
    <numFmt numFmtId="167" formatCode="0.000"/>
    <numFmt numFmtId="168" formatCode="0.000000;[Red]-0.000000;0.000000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2677B"/>
      <sz val="9"/>
    </font>
    <font>
      <b val="1"/>
      <color rgb="0017324D"/>
      <sz val="11"/>
    </font>
    <font>
      <b val="1"/>
      <color rgb="00FFFFFF"/>
    </font>
    <font>
      <b val="1"/>
      <color rgb="00FFFFFF"/>
      <sz val="11"/>
    </font>
    <font>
      <color rgb="0017324D"/>
    </font>
    <font>
      <i val="1"/>
      <color rgb="0066788A"/>
      <sz val="9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DEBF7"/>
      </patternFill>
    </fill>
    <fill>
      <patternFill patternType="solid">
        <fgColor rgb="00284B63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4472C4"/>
      </patternFill>
    </fill>
    <fill>
      <patternFill patternType="solid">
        <fgColor rgb="007F8C8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6" fillId="10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7" fillId="10" borderId="1" applyAlignment="1" pivotButton="0" quotePrefix="0" xfId="0">
      <alignment vertical="center" wrapText="1"/>
    </xf>
    <xf numFmtId="164" fontId="0" fillId="10" borderId="1" applyAlignment="1" pivotButton="0" quotePrefix="0" xfId="0">
      <alignment vertical="center"/>
    </xf>
    <xf numFmtId="165" fontId="0" fillId="10" borderId="1" applyAlignment="1" pivotButton="0" quotePrefix="0" xfId="0">
      <alignment vertical="center"/>
    </xf>
    <xf numFmtId="0" fontId="5" fillId="6" borderId="0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166" fontId="0" fillId="1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5" fillId="8" borderId="0" applyAlignment="1" pivotButton="0" quotePrefix="0" xfId="0">
      <alignment vertical="center"/>
    </xf>
    <xf numFmtId="167" fontId="0" fillId="10" borderId="1" applyAlignment="1" pivotButton="0" quotePrefix="0" xfId="0">
      <alignment vertical="center"/>
    </xf>
    <xf numFmtId="167" fontId="0" fillId="0" borderId="1" applyAlignment="1" pivotButton="0" quotePrefix="0" xfId="0">
      <alignment vertical="center"/>
    </xf>
    <xf numFmtId="0" fontId="4" fillId="9" borderId="0" pivotButton="0" quotePrefix="0" xfId="0"/>
    <xf numFmtId="168" fontId="0" fillId="0" borderId="1" applyAlignment="1" pivotButton="0" quotePrefix="0" xfId="0">
      <alignment vertical="center"/>
    </xf>
    <xf numFmtId="168" fontId="0" fillId="10" borderId="1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8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30" customHeight="1">
      <c r="A1" s="1" t="inlineStr">
        <is>
          <t>РАСЧЕТ ЧИСТОГО ДИСКОНТИРОВАННОГО ДОХОДА (ЧДД)</t>
        </is>
      </c>
    </row>
    <row r="2">
      <c r="A2" s="2" t="inlineStr">
        <is>
          <t>Источник: /root/projects/TimesOil/results/audit-20260909/physical-sweep-z-20260909/cycles/candidate-03/.chdd-ng_v27f6/input.csv  |  Период: 2007–2025  |  Версия ядра: 7.0.2-negative-row-filter</t>
        </is>
      </c>
    </row>
    <row r="3" ht="24" customHeight="1">
      <c r="A3" s="3" t="inlineStr">
        <is>
          <t>Итоговый ЧДД: 14 144.273 млн руб.   |   ИДДз: 1.254   |   Остановки/запуски: 23 событий   |   Переводы под закачку: 9</t>
        </is>
      </c>
    </row>
    <row r="5" ht="34" customHeight="1">
      <c r="A5" s="4" t="inlineStr">
        <is>
          <t>Показатель</t>
        </is>
      </c>
      <c r="B5" s="4" t="inlineStr">
        <is>
          <t>Ед. изм.</t>
        </is>
      </c>
      <c r="C5" s="4" t="inlineStr">
        <is>
          <t>Методика / источник</t>
        </is>
      </c>
      <c r="D5" s="4" t="n">
        <v>2007</v>
      </c>
      <c r="E5" s="4" t="n">
        <v>2008</v>
      </c>
      <c r="F5" s="4" t="n">
        <v>2009</v>
      </c>
      <c r="G5" s="4" t="n">
        <v>2010</v>
      </c>
      <c r="H5" s="4" t="n">
        <v>2011</v>
      </c>
      <c r="I5" s="4" t="n">
        <v>2012</v>
      </c>
      <c r="J5" s="4" t="n">
        <v>2013</v>
      </c>
      <c r="K5" s="4" t="n">
        <v>2014</v>
      </c>
      <c r="L5" s="4" t="n">
        <v>2015</v>
      </c>
      <c r="M5" s="4" t="n">
        <v>2016</v>
      </c>
      <c r="N5" s="4" t="n">
        <v>2017</v>
      </c>
      <c r="O5" s="4" t="n">
        <v>2018</v>
      </c>
      <c r="P5" s="4" t="n">
        <v>2019</v>
      </c>
      <c r="Q5" s="4" t="n">
        <v>2020</v>
      </c>
      <c r="R5" s="4" t="n">
        <v>2021</v>
      </c>
      <c r="S5" s="4" t="n">
        <v>2022</v>
      </c>
      <c r="T5" s="4" t="n">
        <v>2023</v>
      </c>
      <c r="U5" s="4" t="n">
        <v>2024</v>
      </c>
      <c r="V5" s="4" t="n">
        <v>2025</v>
      </c>
    </row>
    <row r="6" ht="22" customHeight="1">
      <c r="A6" s="5" t="inlineStr">
        <is>
          <t>Исходные производственные показатели</t>
        </is>
      </c>
    </row>
    <row r="7">
      <c r="A7" s="6" t="inlineStr">
        <is>
          <t>Накопленная добыча жидкости</t>
        </is>
      </c>
      <c r="B7" s="7" t="inlineStr">
        <is>
          <t>тыс. т</t>
        </is>
      </c>
      <c r="C7" s="8" t="inlineStr">
        <is>
          <t>Сумма последних счетчиков WLPT по скважинам на конец года</t>
        </is>
      </c>
      <c r="D7" s="9" t="n">
        <v>1918.065207573082</v>
      </c>
      <c r="E7" s="9" t="n">
        <v>2418.620854598988</v>
      </c>
      <c r="F7" s="9" t="n">
        <v>2949.059574256643</v>
      </c>
      <c r="G7" s="9" t="n">
        <v>3493.387275576229</v>
      </c>
      <c r="H7" s="9" t="n">
        <v>4087.66000154473</v>
      </c>
      <c r="I7" s="9" t="n">
        <v>4747.431336074937</v>
      </c>
      <c r="J7" s="9" t="n">
        <v>5451.660667999884</v>
      </c>
      <c r="K7" s="9" t="n">
        <v>6193.617732727874</v>
      </c>
      <c r="L7" s="9" t="n">
        <v>6984.713157950555</v>
      </c>
      <c r="M7" s="9" t="n">
        <v>7822.1557631358</v>
      </c>
      <c r="N7" s="9" t="n">
        <v>8693.550083137949</v>
      </c>
      <c r="O7" s="9" t="n">
        <v>9602.083496958852</v>
      </c>
      <c r="P7" s="9" t="n">
        <v>10551.47393469721</v>
      </c>
      <c r="Q7" s="9" t="n">
        <v>11527.66555336286</v>
      </c>
      <c r="R7" s="9" t="n">
        <v>12525.30591135253</v>
      </c>
      <c r="S7" s="9" t="n">
        <v>13548.02615634765</v>
      </c>
      <c r="T7" s="9" t="n">
        <v>14594.04884532829</v>
      </c>
      <c r="U7" s="9" t="n">
        <v>15665.51446399251</v>
      </c>
      <c r="V7" s="9" t="n">
        <v>16391.11045196291</v>
      </c>
    </row>
    <row r="8">
      <c r="A8" s="10" t="inlineStr">
        <is>
          <t>Накопленная добыча нефти</t>
        </is>
      </c>
      <c r="B8" s="11" t="inlineStr">
        <is>
          <t>тыс. т</t>
        </is>
      </c>
      <c r="C8" s="12" t="inlineStr">
        <is>
          <t>Сумма последних счетчиков WOMT по скважинам на конец года</t>
        </is>
      </c>
      <c r="D8" s="13" t="n">
        <v>1725.057646069401</v>
      </c>
      <c r="E8" s="13" t="n">
        <v>2146.570536035877</v>
      </c>
      <c r="F8" s="13" t="n">
        <v>2548.279898728677</v>
      </c>
      <c r="G8" s="13" t="n">
        <v>2882.673779428356</v>
      </c>
      <c r="H8" s="13" t="n">
        <v>3173.787194230214</v>
      </c>
      <c r="I8" s="13" t="n">
        <v>3449.630822374332</v>
      </c>
      <c r="J8" s="13" t="n">
        <v>3706.683703838944</v>
      </c>
      <c r="K8" s="13" t="n">
        <v>3940.477285392079</v>
      </c>
      <c r="L8" s="13" t="n">
        <v>4154.434845499182</v>
      </c>
      <c r="M8" s="13" t="n">
        <v>4355.119569010329</v>
      </c>
      <c r="N8" s="13" t="n">
        <v>4532.051818775645</v>
      </c>
      <c r="O8" s="13" t="n">
        <v>4693.676964698077</v>
      </c>
      <c r="P8" s="13" t="n">
        <v>4848.969694679192</v>
      </c>
      <c r="Q8" s="13" t="n">
        <v>4990.424149183414</v>
      </c>
      <c r="R8" s="13" t="n">
        <v>5120.010599563233</v>
      </c>
      <c r="S8" s="13" t="n">
        <v>5241.357794487398</v>
      </c>
      <c r="T8" s="13" t="n">
        <v>5356.087070442512</v>
      </c>
      <c r="U8" s="13" t="n">
        <v>5464.413387616735</v>
      </c>
      <c r="V8" s="13" t="n">
        <v>5533.35351120719</v>
      </c>
    </row>
    <row r="9">
      <c r="A9" s="6" t="inlineStr">
        <is>
          <t>Накопленная закачка воды</t>
        </is>
      </c>
      <c r="B9" s="7" t="inlineStr">
        <is>
          <t>тыс. м³</t>
        </is>
      </c>
      <c r="C9" s="8" t="inlineStr">
        <is>
          <t>Сумма последних счетчиков WWIT по скважинам на конец года</t>
        </is>
      </c>
      <c r="D9" s="9" t="n">
        <v>2134.65283008</v>
      </c>
      <c r="E9" s="9" t="n">
        <v>2885.30342578</v>
      </c>
      <c r="F9" s="9" t="n">
        <v>3675.701578125</v>
      </c>
      <c r="G9" s="9" t="n">
        <v>4487.621119507</v>
      </c>
      <c r="H9" s="9" t="n">
        <v>5349.714709837</v>
      </c>
      <c r="I9" s="9" t="n">
        <v>6278.118370119</v>
      </c>
      <c r="J9" s="9" t="n">
        <v>7229.974749511</v>
      </c>
      <c r="K9" s="9" t="n">
        <v>8205.567833497</v>
      </c>
      <c r="L9" s="9" t="n">
        <v>9217.424727539999</v>
      </c>
      <c r="M9" s="9" t="n">
        <v>10265.998416993</v>
      </c>
      <c r="N9" s="9" t="n">
        <v>11348.069949217</v>
      </c>
      <c r="O9" s="9" t="n">
        <v>12454.291405762</v>
      </c>
      <c r="P9" s="9" t="n">
        <v>13592.387813721</v>
      </c>
      <c r="Q9" s="9" t="n">
        <v>14754.585745115</v>
      </c>
      <c r="R9" s="9" t="n">
        <v>15930.275164063</v>
      </c>
      <c r="S9" s="9" t="n">
        <v>17129.921703125</v>
      </c>
      <c r="T9" s="9" t="n">
        <v>18343.282332031</v>
      </c>
      <c r="U9" s="9" t="n">
        <v>19577.44895703</v>
      </c>
      <c r="V9" s="9" t="n">
        <v>20405.218367188</v>
      </c>
    </row>
    <row r="10">
      <c r="A10" s="10" t="inlineStr">
        <is>
          <t>Добыча жидкости за год</t>
        </is>
      </c>
      <c r="B10" s="11" t="inlineStr">
        <is>
          <t>тыс. т</t>
        </is>
      </c>
      <c r="C10" s="12" t="inlineStr">
        <is>
          <t>Σ WLPT_Diff / 1 000</t>
        </is>
      </c>
      <c r="D10" s="13" t="n">
        <v>412.0302179153074</v>
      </c>
      <c r="E10" s="13" t="n">
        <v>500.5556470259054</v>
      </c>
      <c r="F10" s="13" t="n">
        <v>530.438719657655</v>
      </c>
      <c r="G10" s="13" t="n">
        <v>544.3277013195859</v>
      </c>
      <c r="H10" s="13" t="n">
        <v>594.2727259685018</v>
      </c>
      <c r="I10" s="13" t="n">
        <v>659.7713345302058</v>
      </c>
      <c r="J10" s="13" t="n">
        <v>704.2293319249477</v>
      </c>
      <c r="K10" s="13" t="n">
        <v>741.9570647279903</v>
      </c>
      <c r="L10" s="13" t="n">
        <v>791.0954252226804</v>
      </c>
      <c r="M10" s="13" t="n">
        <v>837.4426051852461</v>
      </c>
      <c r="N10" s="13" t="n">
        <v>871.3943200021478</v>
      </c>
      <c r="O10" s="13" t="n">
        <v>908.5334138209035</v>
      </c>
      <c r="P10" s="13" t="n">
        <v>949.3904377383628</v>
      </c>
      <c r="Q10" s="13" t="n">
        <v>976.1916186656418</v>
      </c>
      <c r="R10" s="13" t="n">
        <v>997.6403579896719</v>
      </c>
      <c r="S10" s="13" t="n">
        <v>1022.720244995124</v>
      </c>
      <c r="T10" s="13" t="n">
        <v>1046.02268898064</v>
      </c>
      <c r="U10" s="13" t="n">
        <v>1071.465618664217</v>
      </c>
      <c r="V10" s="13" t="n">
        <v>725.5959879704028</v>
      </c>
    </row>
    <row r="11">
      <c r="A11" s="6" t="inlineStr">
        <is>
          <t>Добыча нефти за год</t>
        </is>
      </c>
      <c r="B11" s="7" t="inlineStr">
        <is>
          <t>тыс. т</t>
        </is>
      </c>
      <c r="C11" s="8" t="inlineStr">
        <is>
          <t>Σ WOMT_Diff / 1 000</t>
        </is>
      </c>
      <c r="D11" s="9" t="n">
        <v>366.2623126374064</v>
      </c>
      <c r="E11" s="9" t="n">
        <v>421.5128899664765</v>
      </c>
      <c r="F11" s="9" t="n">
        <v>401.7093626928001</v>
      </c>
      <c r="G11" s="9" t="n">
        <v>334.3938806996789</v>
      </c>
      <c r="H11" s="9" t="n">
        <v>291.1134148018579</v>
      </c>
      <c r="I11" s="9" t="n">
        <v>275.8436281441179</v>
      </c>
      <c r="J11" s="9" t="n">
        <v>257.0528814646115</v>
      </c>
      <c r="K11" s="9" t="n">
        <v>233.7935815531354</v>
      </c>
      <c r="L11" s="9" t="n">
        <v>213.9575601071034</v>
      </c>
      <c r="M11" s="9" t="n">
        <v>200.6847235111462</v>
      </c>
      <c r="N11" s="9" t="n">
        <v>176.9322497653169</v>
      </c>
      <c r="O11" s="9" t="n">
        <v>161.6251459224305</v>
      </c>
      <c r="P11" s="9" t="n">
        <v>155.2927299811158</v>
      </c>
      <c r="Q11" s="9" t="n">
        <v>141.4544545042218</v>
      </c>
      <c r="R11" s="9" t="n">
        <v>129.5864503798189</v>
      </c>
      <c r="S11" s="9" t="n">
        <v>121.3471949241659</v>
      </c>
      <c r="T11" s="9" t="n">
        <v>114.729275955114</v>
      </c>
      <c r="U11" s="9" t="n">
        <v>108.3263171742226</v>
      </c>
      <c r="V11" s="9" t="n">
        <v>68.94012359045492</v>
      </c>
    </row>
    <row r="12">
      <c r="A12" s="10" t="inlineStr">
        <is>
          <t>Закачка воды за год</t>
        </is>
      </c>
      <c r="B12" s="11" t="inlineStr">
        <is>
          <t>тыс. м³</t>
        </is>
      </c>
      <c r="C12" s="12" t="inlineStr">
        <is>
          <t>Σ WWIT_Diff / 1 000</t>
        </is>
      </c>
      <c r="D12" s="13" t="n">
        <v>650.165156251</v>
      </c>
      <c r="E12" s="13" t="n">
        <v>750.6505956999999</v>
      </c>
      <c r="F12" s="13" t="n">
        <v>790.3981523450001</v>
      </c>
      <c r="G12" s="13" t="n">
        <v>811.9195413819999</v>
      </c>
      <c r="H12" s="13" t="n">
        <v>862.09359033</v>
      </c>
      <c r="I12" s="13" t="n">
        <v>928.4036602819999</v>
      </c>
      <c r="J12" s="13" t="n">
        <v>951.8563793919999</v>
      </c>
      <c r="K12" s="13" t="n">
        <v>975.593083986</v>
      </c>
      <c r="L12" s="13" t="n">
        <v>1011.856894043</v>
      </c>
      <c r="M12" s="13" t="n">
        <v>1048.573689453</v>
      </c>
      <c r="N12" s="13" t="n">
        <v>1082.071532224</v>
      </c>
      <c r="O12" s="13" t="n">
        <v>1106.221456545</v>
      </c>
      <c r="P12" s="13" t="n">
        <v>1138.096407959</v>
      </c>
      <c r="Q12" s="13" t="n">
        <v>1162.197931394</v>
      </c>
      <c r="R12" s="13" t="n">
        <v>1175.689418948</v>
      </c>
      <c r="S12" s="13" t="n">
        <v>1199.646539062</v>
      </c>
      <c r="T12" s="13" t="n">
        <v>1213.360628906</v>
      </c>
      <c r="U12" s="13" t="n">
        <v>1234.166624999</v>
      </c>
      <c r="V12" s="13" t="n">
        <v>827.769410158</v>
      </c>
    </row>
    <row r="13">
      <c r="A13" s="6" t="inlineStr">
        <is>
          <t>Средний действующий фонд</t>
        </is>
      </c>
      <c r="B13" s="7" t="inlineStr">
        <is>
          <t>скв.</t>
        </is>
      </c>
      <c r="C13" s="8" t="inlineStr">
        <is>
          <t>Активна при WLPR &gt; 0 или WWIR &gt; 0</t>
        </is>
      </c>
      <c r="D13" s="9" t="n">
        <v>83</v>
      </c>
      <c r="E13" s="9" t="n">
        <v>85.58333333333333</v>
      </c>
      <c r="F13" s="9" t="n">
        <v>87</v>
      </c>
      <c r="G13" s="9" t="n">
        <v>87.25</v>
      </c>
      <c r="H13" s="9" t="n">
        <v>89.25</v>
      </c>
      <c r="I13" s="9" t="n">
        <v>92</v>
      </c>
      <c r="J13" s="9" t="n">
        <v>93.58333333333333</v>
      </c>
      <c r="K13" s="9" t="n">
        <v>94.16666666666667</v>
      </c>
      <c r="L13" s="9" t="n">
        <v>96.5</v>
      </c>
      <c r="M13" s="9" t="n">
        <v>98.91666666666667</v>
      </c>
      <c r="N13" s="9" t="n">
        <v>100</v>
      </c>
      <c r="O13" s="9" t="n">
        <v>100.5833333333333</v>
      </c>
      <c r="P13" s="9" t="n">
        <v>103</v>
      </c>
      <c r="Q13" s="9" t="n">
        <v>103</v>
      </c>
      <c r="R13" s="9" t="n">
        <v>103</v>
      </c>
      <c r="S13" s="9" t="n">
        <v>103</v>
      </c>
      <c r="T13" s="9" t="n">
        <v>103</v>
      </c>
      <c r="U13" s="9" t="n">
        <v>103</v>
      </c>
      <c r="V13" s="9" t="n">
        <v>103</v>
      </c>
    </row>
    <row r="14">
      <c r="A14" s="10" t="inlineStr">
        <is>
          <t>Активный фонд</t>
        </is>
      </c>
      <c r="B14" s="11" t="inlineStr">
        <is>
          <t>скв.-мес.</t>
        </is>
      </c>
      <c r="C14" s="12" t="inlineStr">
        <is>
          <t>Σ активных скважин по месяцам</t>
        </is>
      </c>
      <c r="D14" s="14" t="n">
        <v>996</v>
      </c>
      <c r="E14" s="14" t="n">
        <v>1027</v>
      </c>
      <c r="F14" s="14" t="n">
        <v>1044</v>
      </c>
      <c r="G14" s="14" t="n">
        <v>1047</v>
      </c>
      <c r="H14" s="14" t="n">
        <v>1071</v>
      </c>
      <c r="I14" s="14" t="n">
        <v>1104</v>
      </c>
      <c r="J14" s="14" t="n">
        <v>1123</v>
      </c>
      <c r="K14" s="14" t="n">
        <v>1130</v>
      </c>
      <c r="L14" s="14" t="n">
        <v>1158</v>
      </c>
      <c r="M14" s="14" t="n">
        <v>1187</v>
      </c>
      <c r="N14" s="14" t="n">
        <v>1200</v>
      </c>
      <c r="O14" s="14" t="n">
        <v>1207</v>
      </c>
      <c r="P14" s="14" t="n">
        <v>1236</v>
      </c>
      <c r="Q14" s="14" t="n">
        <v>1236</v>
      </c>
      <c r="R14" s="14" t="n">
        <v>1236</v>
      </c>
      <c r="S14" s="14" t="n">
        <v>1236</v>
      </c>
      <c r="T14" s="14" t="n">
        <v>1236</v>
      </c>
      <c r="U14" s="14" t="n">
        <v>1236</v>
      </c>
      <c r="V14" s="14" t="n">
        <v>824</v>
      </c>
    </row>
    <row r="15">
      <c r="A15" s="6" t="inlineStr">
        <is>
          <t>Средний дебит жидкости</t>
        </is>
      </c>
      <c r="B15" s="7" t="inlineStr">
        <is>
          <t>м³/сут</t>
        </is>
      </c>
      <c r="C15" s="8" t="inlineStr">
        <is>
          <t>Среднее по положительным WLPR</t>
        </is>
      </c>
      <c r="D15" s="9" t="n">
        <v>21.79702273192771</v>
      </c>
      <c r="E15" s="9" t="n">
        <v>25.53871146391753</v>
      </c>
      <c r="F15" s="9" t="n">
        <v>25.95782937356322</v>
      </c>
      <c r="G15" s="9" t="n">
        <v>25.82022473054755</v>
      </c>
      <c r="H15" s="9" t="n">
        <v>27.41980323121387</v>
      </c>
      <c r="I15" s="9" t="n">
        <v>30.89032603592814</v>
      </c>
      <c r="J15" s="9" t="n">
        <v>32.66512888905547</v>
      </c>
      <c r="K15" s="9" t="n">
        <v>33.5744116884273</v>
      </c>
      <c r="L15" s="9" t="n">
        <v>34.02138279344729</v>
      </c>
      <c r="M15" s="9" t="n">
        <v>34.69062747572816</v>
      </c>
      <c r="N15" s="9" t="n">
        <v>35.30223489617487</v>
      </c>
      <c r="O15" s="9" t="n">
        <v>36.31099987924016</v>
      </c>
      <c r="P15" s="9" t="n">
        <v>36.84990682010582</v>
      </c>
      <c r="Q15" s="9" t="n">
        <v>37.59645849603175</v>
      </c>
      <c r="R15" s="9" t="n">
        <v>38.36982398412698</v>
      </c>
      <c r="S15" s="9" t="n">
        <v>39.84598357258065</v>
      </c>
      <c r="T15" s="9" t="n">
        <v>40.65450101478495</v>
      </c>
      <c r="U15" s="9" t="n">
        <v>41.43270905645161</v>
      </c>
      <c r="V15" s="9" t="n">
        <v>42.18712927419355</v>
      </c>
    </row>
    <row r="16">
      <c r="A16" s="10" t="inlineStr">
        <is>
          <t>Средний дебит нефти</t>
        </is>
      </c>
      <c r="B16" s="11" t="inlineStr">
        <is>
          <t>т/сут</t>
        </is>
      </c>
      <c r="C16" s="12" t="inlineStr">
        <is>
          <t>Среднее по положительным WOMR</t>
        </is>
      </c>
      <c r="D16" s="13" t="n">
        <v>18.14737204272333</v>
      </c>
      <c r="E16" s="13" t="n">
        <v>20.3576782786724</v>
      </c>
      <c r="F16" s="13" t="n">
        <v>18.9817304923093</v>
      </c>
      <c r="G16" s="13" t="n">
        <v>15.84345870175675</v>
      </c>
      <c r="H16" s="13" t="n">
        <v>13.83423512844413</v>
      </c>
      <c r="I16" s="13" t="n">
        <v>13.54000440138953</v>
      </c>
      <c r="J16" s="13" t="n">
        <v>12.67193535392055</v>
      </c>
      <c r="K16" s="13" t="n">
        <v>11.38251532737317</v>
      </c>
      <c r="L16" s="13" t="n">
        <v>10.02300944564218</v>
      </c>
      <c r="M16" s="13" t="n">
        <v>9.129583130744184</v>
      </c>
      <c r="N16" s="13" t="n">
        <v>7.948813166925723</v>
      </c>
      <c r="O16" s="13" t="n">
        <v>7.210482564806894</v>
      </c>
      <c r="P16" s="13" t="n">
        <v>6.754866777006359</v>
      </c>
      <c r="Q16" s="13" t="n">
        <v>6.135396055342248</v>
      </c>
      <c r="R16" s="13" t="n">
        <v>5.636368780825024</v>
      </c>
      <c r="S16" s="13" t="n">
        <v>5.362847184417111</v>
      </c>
      <c r="T16" s="13" t="n">
        <v>5.070444205841531</v>
      </c>
      <c r="U16" s="13" t="n">
        <v>4.774104759603817</v>
      </c>
      <c r="V16" s="13" t="n">
        <v>4.575936828808093</v>
      </c>
    </row>
    <row r="17">
      <c r="A17" s="6" t="inlineStr">
        <is>
          <t>Средняя приемистость</t>
        </is>
      </c>
      <c r="B17" s="7" t="inlineStr">
        <is>
          <t>м³/сут</t>
        </is>
      </c>
      <c r="C17" s="8" t="inlineStr">
        <is>
          <t>Среднее по положительным WWIR</t>
        </is>
      </c>
      <c r="D17" s="9" t="n">
        <v>64.38297785843373</v>
      </c>
      <c r="E17" s="9" t="n">
        <v>70.71446815804597</v>
      </c>
      <c r="F17" s="9" t="n">
        <v>74.66950473563219</v>
      </c>
      <c r="G17" s="9" t="n">
        <v>75.62129253257791</v>
      </c>
      <c r="H17" s="9" t="n">
        <v>74.77451675989445</v>
      </c>
      <c r="I17" s="9" t="n">
        <v>69.81345720642202</v>
      </c>
      <c r="J17" s="9" t="n">
        <v>68.62368748464914</v>
      </c>
      <c r="K17" s="9" t="n">
        <v>70.34697705263159</v>
      </c>
      <c r="L17" s="9" t="n">
        <v>72.94799266885965</v>
      </c>
      <c r="M17" s="9" t="n">
        <v>73.77256742274677</v>
      </c>
      <c r="N17" s="9" t="n">
        <v>76.0068206025641</v>
      </c>
      <c r="O17" s="9" t="n">
        <v>77.37700236595745</v>
      </c>
      <c r="P17" s="9" t="n">
        <v>77.94782634374999</v>
      </c>
      <c r="Q17" s="9" t="n">
        <v>79.3837703125</v>
      </c>
      <c r="R17" s="9" t="n">
        <v>80.52417026458333</v>
      </c>
      <c r="S17" s="9" t="n">
        <v>80.16189236178862</v>
      </c>
      <c r="T17" s="9" t="n">
        <v>81.07765041869919</v>
      </c>
      <c r="U17" s="9" t="n">
        <v>82.24385798170732</v>
      </c>
      <c r="V17" s="9" t="n">
        <v>83.08078315548779</v>
      </c>
    </row>
    <row r="18" ht="22" customHeight="1">
      <c r="A18" s="15" t="inlineStr">
        <is>
          <t>Действия с фондом и платные события</t>
        </is>
      </c>
    </row>
    <row r="19">
      <c r="A19" s="6" t="inlineStr">
        <is>
          <t>Установлено новых ЭЦН — всего</t>
        </is>
      </c>
      <c r="B19" s="7" t="inlineStr">
        <is>
          <t>шт.</t>
        </is>
      </c>
      <c r="C19" s="8" t="inlineStr">
        <is>
          <t>Платные замены ЭЦН; начальный насос не начисляется по умолчанию</t>
        </is>
      </c>
      <c r="D19" s="16" t="n">
        <v>25</v>
      </c>
      <c r="E19" s="16" t="n">
        <v>13</v>
      </c>
      <c r="F19" s="16" t="n">
        <v>2</v>
      </c>
      <c r="G19" s="16" t="n">
        <v>3</v>
      </c>
      <c r="H19" s="16" t="n">
        <v>6</v>
      </c>
      <c r="I19" s="16" t="n">
        <v>8</v>
      </c>
      <c r="J19" s="16" t="n">
        <v>7</v>
      </c>
      <c r="K19" s="16" t="n">
        <v>5</v>
      </c>
      <c r="L19" s="16" t="n">
        <v>1</v>
      </c>
      <c r="M19" s="16" t="n">
        <v>2</v>
      </c>
      <c r="N19" s="16" t="n">
        <v>2</v>
      </c>
      <c r="O19" s="16" t="n">
        <v>0</v>
      </c>
      <c r="P19" s="16" t="n">
        <v>0</v>
      </c>
      <c r="Q19" s="16" t="n">
        <v>2</v>
      </c>
      <c r="R19" s="16" t="n">
        <v>1</v>
      </c>
      <c r="S19" s="16" t="n">
        <v>7</v>
      </c>
      <c r="T19" s="16" t="n">
        <v>1</v>
      </c>
      <c r="U19" s="16" t="n">
        <v>5</v>
      </c>
      <c r="V19" s="16" t="n">
        <v>2</v>
      </c>
    </row>
    <row r="20">
      <c r="A20" s="10" t="inlineStr">
        <is>
          <t>Смен ЭЦН на больший типоразмер</t>
        </is>
      </c>
      <c r="B20" s="11" t="inlineStr">
        <is>
          <t>шт.</t>
        </is>
      </c>
      <c r="C20" s="12" t="inlineStr">
        <is>
          <t>При выходе дебита выше максимума текущего ЭЦН</t>
        </is>
      </c>
      <c r="D20" s="14" t="n">
        <v>25</v>
      </c>
      <c r="E20" s="14" t="n">
        <v>13</v>
      </c>
      <c r="F20" s="14" t="n">
        <v>2</v>
      </c>
      <c r="G20" s="14" t="n">
        <v>3</v>
      </c>
      <c r="H20" s="14" t="n">
        <v>6</v>
      </c>
      <c r="I20" s="14" t="n">
        <v>8</v>
      </c>
      <c r="J20" s="14" t="n">
        <v>7</v>
      </c>
      <c r="K20" s="14" t="n">
        <v>5</v>
      </c>
      <c r="L20" s="14" t="n">
        <v>1</v>
      </c>
      <c r="M20" s="14" t="n">
        <v>2</v>
      </c>
      <c r="N20" s="14" t="n">
        <v>2</v>
      </c>
      <c r="O20" s="14" t="n">
        <v>0</v>
      </c>
      <c r="P20" s="14" t="n">
        <v>0</v>
      </c>
      <c r="Q20" s="14" t="n">
        <v>2</v>
      </c>
      <c r="R20" s="14" t="n">
        <v>1</v>
      </c>
      <c r="S20" s="14" t="n">
        <v>7</v>
      </c>
      <c r="T20" s="14" t="n">
        <v>1</v>
      </c>
      <c r="U20" s="14" t="n">
        <v>5</v>
      </c>
      <c r="V20" s="14" t="n">
        <v>2</v>
      </c>
    </row>
    <row r="21">
      <c r="A21" s="6" t="inlineStr">
        <is>
          <t>Смен ЭЦН на меньший типоразмер</t>
        </is>
      </c>
      <c r="B21" s="7" t="inlineStr">
        <is>
          <t>шт.</t>
        </is>
      </c>
      <c r="C21" s="8" t="inlineStr">
        <is>
          <t>Только если min текущего ЭЦН − WLPR &gt; 100</t>
        </is>
      </c>
      <c r="D21" s="16" t="n">
        <v>0</v>
      </c>
      <c r="E21" s="16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</row>
    <row r="22">
      <c r="A22" s="10" t="inlineStr">
        <is>
          <t>Остановки скважин</t>
        </is>
      </c>
      <c r="B22" s="11" t="inlineStr">
        <is>
          <t>шт.</t>
        </is>
      </c>
      <c r="C22" s="12" t="inlineStr">
        <is>
          <t>Каждый переход активна → неактивна</t>
        </is>
      </c>
      <c r="D22" s="14" t="n">
        <v>0</v>
      </c>
      <c r="E22" s="14" t="n">
        <v>0</v>
      </c>
      <c r="F22" s="14" t="n">
        <v>0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</row>
    <row r="23">
      <c r="A23" s="6" t="inlineStr">
        <is>
          <t>Запуски скважин</t>
        </is>
      </c>
      <c r="B23" s="7" t="inlineStr">
        <is>
          <t>шт.</t>
        </is>
      </c>
      <c r="C23" s="8" t="inlineStr">
        <is>
          <t>Каждый переход неактивна → активна</t>
        </is>
      </c>
      <c r="D23" s="16" t="n">
        <v>3</v>
      </c>
      <c r="E23" s="16" t="n">
        <v>4</v>
      </c>
      <c r="F23" s="16" t="n">
        <v>0</v>
      </c>
      <c r="G23" s="16" t="n">
        <v>2</v>
      </c>
      <c r="H23" s="16" t="n">
        <v>2</v>
      </c>
      <c r="I23" s="16" t="n">
        <v>1</v>
      </c>
      <c r="J23" s="16" t="n">
        <v>2</v>
      </c>
      <c r="K23" s="16" t="n">
        <v>2</v>
      </c>
      <c r="L23" s="16" t="n">
        <v>1</v>
      </c>
      <c r="M23" s="16" t="n">
        <v>3</v>
      </c>
      <c r="N23" s="16" t="n">
        <v>0</v>
      </c>
      <c r="O23" s="16" t="n">
        <v>3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</row>
    <row r="24">
      <c r="A24" s="10" t="inlineStr">
        <is>
          <t>Остановки и запуски — всего</t>
        </is>
      </c>
      <c r="B24" s="11" t="inlineStr">
        <is>
          <t>шт.</t>
        </is>
      </c>
      <c r="C24" s="12" t="inlineStr">
        <is>
          <t>Остановка и последующий запуск считаются двумя событиями</t>
        </is>
      </c>
      <c r="D24" s="14" t="n">
        <v>3</v>
      </c>
      <c r="E24" s="14" t="n">
        <v>4</v>
      </c>
      <c r="F24" s="14" t="n">
        <v>0</v>
      </c>
      <c r="G24" s="14" t="n">
        <v>2</v>
      </c>
      <c r="H24" s="14" t="n">
        <v>2</v>
      </c>
      <c r="I24" s="14" t="n">
        <v>1</v>
      </c>
      <c r="J24" s="14" t="n">
        <v>2</v>
      </c>
      <c r="K24" s="14" t="n">
        <v>2</v>
      </c>
      <c r="L24" s="14" t="n">
        <v>1</v>
      </c>
      <c r="M24" s="14" t="n">
        <v>3</v>
      </c>
      <c r="N24" s="14" t="n">
        <v>0</v>
      </c>
      <c r="O24" s="14" t="n">
        <v>3</v>
      </c>
      <c r="P24" s="14" t="n">
        <v>0</v>
      </c>
      <c r="Q24" s="14" t="n">
        <v>0</v>
      </c>
      <c r="R24" s="14" t="n">
        <v>0</v>
      </c>
      <c r="S24" s="14" t="n">
        <v>0</v>
      </c>
      <c r="T24" s="14" t="n">
        <v>0</v>
      </c>
      <c r="U24" s="14" t="n">
        <v>0</v>
      </c>
      <c r="V24" s="14" t="n">
        <v>0</v>
      </c>
    </row>
    <row r="25">
      <c r="A25" s="6" t="inlineStr">
        <is>
          <t>Переводы под закачку</t>
        </is>
      </c>
      <c r="B25" s="7" t="inlineStr">
        <is>
          <t>шт.</t>
        </is>
      </c>
      <c r="C25" s="8" t="inlineStr">
        <is>
          <t>Прямой переход добывающая → нагнетательная</t>
        </is>
      </c>
      <c r="D25" s="16" t="n">
        <v>2</v>
      </c>
      <c r="E25" s="16" t="n">
        <v>1</v>
      </c>
      <c r="F25" s="16" t="n">
        <v>0</v>
      </c>
      <c r="G25" s="16" t="n">
        <v>1</v>
      </c>
      <c r="H25" s="16" t="n">
        <v>1</v>
      </c>
      <c r="I25" s="16" t="n">
        <v>2</v>
      </c>
      <c r="J25" s="16" t="n">
        <v>1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1</v>
      </c>
      <c r="T25" s="16" t="n">
        <v>0</v>
      </c>
      <c r="U25" s="16" t="n">
        <v>0</v>
      </c>
      <c r="V25" s="16" t="n">
        <v>0</v>
      </c>
    </row>
    <row r="26">
      <c r="A26" s="10" t="inlineStr">
        <is>
          <t>Стоимость операций по смене ЭЦН</t>
        </is>
      </c>
      <c r="B26" s="11" t="inlineStr">
        <is>
          <t>млн руб.</t>
        </is>
      </c>
      <c r="C26" s="12" t="inlineStr">
        <is>
          <t>1,8 млн руб. за каждую замену</t>
        </is>
      </c>
      <c r="D26" s="13" t="n">
        <v>45.00000000000001</v>
      </c>
      <c r="E26" s="13" t="n">
        <v>23.4</v>
      </c>
      <c r="F26" s="13" t="n">
        <v>3.6</v>
      </c>
      <c r="G26" s="13" t="n">
        <v>5.4</v>
      </c>
      <c r="H26" s="13" t="n">
        <v>10.8</v>
      </c>
      <c r="I26" s="13" t="n">
        <v>14.4</v>
      </c>
      <c r="J26" s="13" t="n">
        <v>12.6</v>
      </c>
      <c r="K26" s="13" t="n">
        <v>9</v>
      </c>
      <c r="L26" s="13" t="n">
        <v>1.8</v>
      </c>
      <c r="M26" s="13" t="n">
        <v>3.6</v>
      </c>
      <c r="N26" s="13" t="n">
        <v>3.6</v>
      </c>
      <c r="O26" s="13" t="n">
        <v>0</v>
      </c>
      <c r="P26" s="13" t="n">
        <v>0</v>
      </c>
      <c r="Q26" s="13" t="n">
        <v>3.6</v>
      </c>
      <c r="R26" s="13" t="n">
        <v>1.8</v>
      </c>
      <c r="S26" s="13" t="n">
        <v>12.6</v>
      </c>
      <c r="T26" s="13" t="n">
        <v>1.8</v>
      </c>
      <c r="U26" s="13" t="n">
        <v>9</v>
      </c>
      <c r="V26" s="13" t="n">
        <v>3.6</v>
      </c>
    </row>
    <row r="27">
      <c r="A27" s="6" t="inlineStr">
        <is>
          <t>Стоимость остановок и запусков</t>
        </is>
      </c>
      <c r="B27" s="7" t="inlineStr">
        <is>
          <t>млн руб.</t>
        </is>
      </c>
      <c r="C27" s="8" t="inlineStr">
        <is>
          <t>1,0 млн руб. за каждое событие</t>
        </is>
      </c>
      <c r="D27" s="9" t="n">
        <v>3</v>
      </c>
      <c r="E27" s="9" t="n">
        <v>4</v>
      </c>
      <c r="F27" s="9" t="n">
        <v>0</v>
      </c>
      <c r="G27" s="9" t="n">
        <v>2</v>
      </c>
      <c r="H27" s="9" t="n">
        <v>2</v>
      </c>
      <c r="I27" s="9" t="n">
        <v>1</v>
      </c>
      <c r="J27" s="9" t="n">
        <v>2</v>
      </c>
      <c r="K27" s="9" t="n">
        <v>2</v>
      </c>
      <c r="L27" s="9" t="n">
        <v>1</v>
      </c>
      <c r="M27" s="9" t="n">
        <v>3</v>
      </c>
      <c r="N27" s="9" t="n">
        <v>0</v>
      </c>
      <c r="O27" s="9" t="n">
        <v>3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</row>
    <row r="28">
      <c r="A28" s="10" t="inlineStr">
        <is>
          <t>Стоимость переводов под закачку</t>
        </is>
      </c>
      <c r="B28" s="11" t="inlineStr">
        <is>
          <t>млн руб.</t>
        </is>
      </c>
      <c r="C28" s="12" t="inlineStr">
        <is>
          <t>5,0 млн руб. за перевод; без старого ЭЦН и отдельной остановки</t>
        </is>
      </c>
      <c r="D28" s="13" t="n">
        <v>10</v>
      </c>
      <c r="E28" s="13" t="n">
        <v>5</v>
      </c>
      <c r="F28" s="13" t="n">
        <v>0</v>
      </c>
      <c r="G28" s="13" t="n">
        <v>5</v>
      </c>
      <c r="H28" s="13" t="n">
        <v>5</v>
      </c>
      <c r="I28" s="13" t="n">
        <v>10</v>
      </c>
      <c r="J28" s="13" t="n">
        <v>5</v>
      </c>
      <c r="K28" s="13" t="n">
        <v>0</v>
      </c>
      <c r="L28" s="13" t="n">
        <v>0</v>
      </c>
      <c r="M28" s="13" t="n">
        <v>0</v>
      </c>
      <c r="N28" s="13" t="n">
        <v>0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5</v>
      </c>
      <c r="T28" s="13" t="n">
        <v>0</v>
      </c>
      <c r="U28" s="13" t="n">
        <v>0</v>
      </c>
      <c r="V28" s="13" t="n">
        <v>0</v>
      </c>
    </row>
    <row r="29">
      <c r="A29" s="6" t="inlineStr">
        <is>
          <t>ЭЦН 15 м³/сут — установлено новых</t>
        </is>
      </c>
      <c r="B29" s="7" t="inlineStr">
        <is>
          <t>шт.</t>
        </is>
      </c>
      <c r="C29" s="8" t="inlineStr">
        <is>
          <t>Количество оплаченных новых насосов данного типоразмера</t>
        </is>
      </c>
      <c r="D29" s="16" t="n">
        <v>0</v>
      </c>
      <c r="E29" s="16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</row>
    <row r="30">
      <c r="A30" s="10" t="inlineStr">
        <is>
          <t>ЭЦН 20 м³/сут — установлено новых</t>
        </is>
      </c>
      <c r="B30" s="11" t="inlineStr">
        <is>
          <t>шт.</t>
        </is>
      </c>
      <c r="C30" s="12" t="inlineStr">
        <is>
          <t>Количество оплаченных новых насосов данного типоразмера</t>
        </is>
      </c>
      <c r="D30" s="14" t="n">
        <v>13</v>
      </c>
      <c r="E30" s="14" t="n">
        <v>8</v>
      </c>
      <c r="F30" s="14" t="n">
        <v>1</v>
      </c>
      <c r="G30" s="14" t="n">
        <v>1</v>
      </c>
      <c r="H30" s="14" t="n">
        <v>1</v>
      </c>
      <c r="I30" s="14" t="n">
        <v>4</v>
      </c>
      <c r="J30" s="14" t="n">
        <v>2</v>
      </c>
      <c r="K30" s="14" t="n">
        <v>0</v>
      </c>
      <c r="L30" s="14" t="n">
        <v>0</v>
      </c>
      <c r="M30" s="14" t="n">
        <v>2</v>
      </c>
      <c r="N30" s="14" t="n">
        <v>0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1</v>
      </c>
      <c r="T30" s="14" t="n">
        <v>0</v>
      </c>
      <c r="U30" s="14" t="n">
        <v>0</v>
      </c>
      <c r="V30" s="14" t="n">
        <v>0</v>
      </c>
    </row>
    <row r="31">
      <c r="A31" s="6" t="inlineStr">
        <is>
          <t>ЭЦН 30 м³/сут — установлено новых</t>
        </is>
      </c>
      <c r="B31" s="7" t="inlineStr">
        <is>
          <t>шт.</t>
        </is>
      </c>
      <c r="C31" s="8" t="inlineStr">
        <is>
          <t>Количество оплаченных новых насосов данного типоразмера</t>
        </is>
      </c>
      <c r="D31" s="16" t="n">
        <v>10</v>
      </c>
      <c r="E31" s="16" t="n">
        <v>4</v>
      </c>
      <c r="F31" s="16" t="n">
        <v>1</v>
      </c>
      <c r="G31" s="16" t="n">
        <v>2</v>
      </c>
      <c r="H31" s="16" t="n">
        <v>5</v>
      </c>
      <c r="I31" s="16" t="n">
        <v>1</v>
      </c>
      <c r="J31" s="16" t="n">
        <v>4</v>
      </c>
      <c r="K31" s="16" t="n">
        <v>2</v>
      </c>
      <c r="L31" s="16" t="n">
        <v>1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1</v>
      </c>
      <c r="R31" s="16" t="n">
        <v>0</v>
      </c>
      <c r="S31" s="16" t="n">
        <v>1</v>
      </c>
      <c r="T31" s="16" t="n">
        <v>1</v>
      </c>
      <c r="U31" s="16" t="n">
        <v>3</v>
      </c>
      <c r="V31" s="16" t="n">
        <v>0</v>
      </c>
    </row>
    <row r="32">
      <c r="A32" s="10" t="inlineStr">
        <is>
          <t>ЭЦН 50 м³/сут — установлено новых</t>
        </is>
      </c>
      <c r="B32" s="11" t="inlineStr">
        <is>
          <t>шт.</t>
        </is>
      </c>
      <c r="C32" s="12" t="inlineStr">
        <is>
          <t>Количество оплаченных новых насосов данного типоразмера</t>
        </is>
      </c>
      <c r="D32" s="14" t="n">
        <v>2</v>
      </c>
      <c r="E32" s="14" t="n">
        <v>1</v>
      </c>
      <c r="F32" s="14" t="n">
        <v>0</v>
      </c>
      <c r="G32" s="14" t="n">
        <v>0</v>
      </c>
      <c r="H32" s="14" t="n">
        <v>0</v>
      </c>
      <c r="I32" s="14" t="n">
        <v>3</v>
      </c>
      <c r="J32" s="14" t="n">
        <v>1</v>
      </c>
      <c r="K32" s="14" t="n">
        <v>3</v>
      </c>
      <c r="L32" s="14" t="n">
        <v>0</v>
      </c>
      <c r="M32" s="14" t="n">
        <v>0</v>
      </c>
      <c r="N32" s="14" t="n">
        <v>2</v>
      </c>
      <c r="O32" s="14" t="n">
        <v>0</v>
      </c>
      <c r="P32" s="14" t="n">
        <v>0</v>
      </c>
      <c r="Q32" s="14" t="n">
        <v>1</v>
      </c>
      <c r="R32" s="14" t="n">
        <v>1</v>
      </c>
      <c r="S32" s="14" t="n">
        <v>3</v>
      </c>
      <c r="T32" s="14" t="n">
        <v>0</v>
      </c>
      <c r="U32" s="14" t="n">
        <v>2</v>
      </c>
      <c r="V32" s="14" t="n">
        <v>2</v>
      </c>
    </row>
    <row r="33">
      <c r="A33" s="6" t="inlineStr">
        <is>
          <t>ЭЦН 80 м³/сут — установлено новых</t>
        </is>
      </c>
      <c r="B33" s="7" t="inlineStr">
        <is>
          <t>шт.</t>
        </is>
      </c>
      <c r="C33" s="8" t="inlineStr">
        <is>
          <t>Количество оплаченных новых насосов данного типоразмера</t>
        </is>
      </c>
      <c r="D33" s="16" t="n">
        <v>0</v>
      </c>
      <c r="E33" s="16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2</v>
      </c>
      <c r="T33" s="16" t="n">
        <v>0</v>
      </c>
      <c r="U33" s="16" t="n">
        <v>0</v>
      </c>
      <c r="V33" s="16" t="n">
        <v>0</v>
      </c>
    </row>
    <row r="34">
      <c r="A34" s="10" t="inlineStr">
        <is>
          <t>ЭЦН 100 м³/сут — установлено новых</t>
        </is>
      </c>
      <c r="B34" s="11" t="inlineStr">
        <is>
          <t>шт.</t>
        </is>
      </c>
      <c r="C34" s="12" t="inlineStr">
        <is>
          <t>Количество оплаченных новых насосов данного типоразмера</t>
        </is>
      </c>
      <c r="D34" s="14" t="n">
        <v>0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n">
        <v>0</v>
      </c>
      <c r="P34" s="14" t="n">
        <v>0</v>
      </c>
      <c r="Q34" s="14" t="n">
        <v>0</v>
      </c>
      <c r="R34" s="14" t="n">
        <v>0</v>
      </c>
      <c r="S34" s="14" t="n">
        <v>0</v>
      </c>
      <c r="T34" s="14" t="n">
        <v>0</v>
      </c>
      <c r="U34" s="14" t="n">
        <v>0</v>
      </c>
      <c r="V34" s="14" t="n">
        <v>0</v>
      </c>
    </row>
    <row r="35">
      <c r="A35" s="6" t="inlineStr">
        <is>
          <t>ЭЦН 125 м³/сут — установлено новых</t>
        </is>
      </c>
      <c r="B35" s="7" t="inlineStr">
        <is>
          <t>шт.</t>
        </is>
      </c>
      <c r="C35" s="8" t="inlineStr">
        <is>
          <t>Количество оплаченных новых насосов данного типоразмера</t>
        </is>
      </c>
      <c r="D35" s="16" t="n">
        <v>0</v>
      </c>
      <c r="E35" s="16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</row>
    <row r="36">
      <c r="A36" s="10" t="inlineStr">
        <is>
          <t>ЭЦН 160 м³/сут — установлено новых</t>
        </is>
      </c>
      <c r="B36" s="11" t="inlineStr">
        <is>
          <t>шт.</t>
        </is>
      </c>
      <c r="C36" s="12" t="inlineStr">
        <is>
          <t>Количество оплаченных новых насосов данного типоразмера</t>
        </is>
      </c>
      <c r="D36" s="14" t="n">
        <v>0</v>
      </c>
      <c r="E36" s="14" t="n">
        <v>0</v>
      </c>
      <c r="F36" s="14" t="n">
        <v>0</v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4" t="n">
        <v>0</v>
      </c>
      <c r="U36" s="14" t="n">
        <v>0</v>
      </c>
      <c r="V36" s="14" t="n">
        <v>0</v>
      </c>
    </row>
    <row r="37">
      <c r="A37" s="6" t="inlineStr">
        <is>
          <t>ЭЦН 210 м³/сут — установлено новых</t>
        </is>
      </c>
      <c r="B37" s="7" t="inlineStr">
        <is>
          <t>шт.</t>
        </is>
      </c>
      <c r="C37" s="8" t="inlineStr">
        <is>
          <t>Количество оплаченных новых насосов данного типоразмера</t>
        </is>
      </c>
      <c r="D37" s="16" t="n">
        <v>0</v>
      </c>
      <c r="E37" s="16" t="n">
        <v>0</v>
      </c>
      <c r="F37" s="16" t="n">
        <v>0</v>
      </c>
      <c r="G37" s="16" t="n">
        <v>0</v>
      </c>
      <c r="H37" s="16" t="n">
        <v>0</v>
      </c>
      <c r="I37" s="16" t="n">
        <v>0</v>
      </c>
      <c r="J37" s="16" t="n">
        <v>0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</row>
    <row r="38">
      <c r="A38" s="10" t="inlineStr">
        <is>
          <t>ЭЦН 250 м³/сут — установлено новых</t>
        </is>
      </c>
      <c r="B38" s="11" t="inlineStr">
        <is>
          <t>шт.</t>
        </is>
      </c>
      <c r="C38" s="12" t="inlineStr">
        <is>
          <t>Количество оплаченных новых насосов данного типоразмера</t>
        </is>
      </c>
      <c r="D38" s="14" t="n">
        <v>0</v>
      </c>
      <c r="E38" s="14" t="n">
        <v>0</v>
      </c>
      <c r="F38" s="14" t="n">
        <v>0</v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0</v>
      </c>
      <c r="R38" s="14" t="n">
        <v>0</v>
      </c>
      <c r="S38" s="14" t="n">
        <v>0</v>
      </c>
      <c r="T38" s="14" t="n">
        <v>0</v>
      </c>
      <c r="U38" s="14" t="n">
        <v>0</v>
      </c>
      <c r="V38" s="14" t="n">
        <v>0</v>
      </c>
    </row>
    <row r="39">
      <c r="A39" s="6" t="inlineStr">
        <is>
          <t>ЭЦН 320 м³/сут — установлено новых</t>
        </is>
      </c>
      <c r="B39" s="7" t="inlineStr">
        <is>
          <t>шт.</t>
        </is>
      </c>
      <c r="C39" s="8" t="inlineStr">
        <is>
          <t>Количество оплаченных новых насосов данного типоразмера</t>
        </is>
      </c>
      <c r="D39" s="16" t="n">
        <v>0</v>
      </c>
      <c r="E39" s="16" t="n">
        <v>0</v>
      </c>
      <c r="F39" s="16" t="n">
        <v>0</v>
      </c>
      <c r="G39" s="16" t="n">
        <v>0</v>
      </c>
      <c r="H39" s="16" t="n">
        <v>0</v>
      </c>
      <c r="I39" s="16" t="n">
        <v>0</v>
      </c>
      <c r="J39" s="16" t="n">
        <v>0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</row>
    <row r="40">
      <c r="A40" s="10" t="inlineStr">
        <is>
          <t>ЭЦН 400 м³/сут — установлено новых</t>
        </is>
      </c>
      <c r="B40" s="11" t="inlineStr">
        <is>
          <t>шт.</t>
        </is>
      </c>
      <c r="C40" s="12" t="inlineStr">
        <is>
          <t>Количество оплаченных новых насосов данного типоразмера</t>
        </is>
      </c>
      <c r="D40" s="14" t="n">
        <v>0</v>
      </c>
      <c r="E40" s="14" t="n">
        <v>0</v>
      </c>
      <c r="F40" s="14" t="n">
        <v>0</v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4" t="n">
        <v>0</v>
      </c>
      <c r="U40" s="14" t="n">
        <v>0</v>
      </c>
      <c r="V40" s="14" t="n">
        <v>0</v>
      </c>
    </row>
    <row r="41" ht="22" customHeight="1">
      <c r="A41" s="17" t="inlineStr">
        <is>
          <t>Исходные экономические нормативы</t>
        </is>
      </c>
    </row>
    <row r="42">
      <c r="A42" s="10" t="inlineStr">
        <is>
          <t>Приведенная цена реализации нефти</t>
        </is>
      </c>
      <c r="B42" s="11" t="inlineStr">
        <is>
          <t>руб./т</t>
        </is>
      </c>
      <c r="C42" s="12" t="inlineStr">
        <is>
          <t>Файл нормативов</t>
        </is>
      </c>
      <c r="D42" s="14" t="n">
        <v>28000</v>
      </c>
      <c r="E42" s="14" t="n">
        <v>28000</v>
      </c>
      <c r="F42" s="14" t="n">
        <v>28000</v>
      </c>
      <c r="G42" s="14" t="n">
        <v>28000</v>
      </c>
      <c r="H42" s="14" t="n">
        <v>28000</v>
      </c>
      <c r="I42" s="14" t="n">
        <v>28000</v>
      </c>
      <c r="J42" s="14" t="n">
        <v>28000</v>
      </c>
      <c r="K42" s="14" t="n">
        <v>28000</v>
      </c>
      <c r="L42" s="14" t="n">
        <v>28000</v>
      </c>
      <c r="M42" s="14" t="n">
        <v>28000</v>
      </c>
      <c r="N42" s="14" t="n">
        <v>28000</v>
      </c>
      <c r="O42" s="14" t="n">
        <v>28000</v>
      </c>
      <c r="P42" s="14" t="n">
        <v>28000</v>
      </c>
      <c r="Q42" s="14" t="n">
        <v>28000</v>
      </c>
      <c r="R42" s="14" t="n">
        <v>28000</v>
      </c>
      <c r="S42" s="14" t="n">
        <v>28000</v>
      </c>
      <c r="T42" s="14" t="n">
        <v>28000</v>
      </c>
      <c r="U42" s="14" t="n">
        <v>28000</v>
      </c>
      <c r="V42" s="14" t="n">
        <v>28000</v>
      </c>
    </row>
    <row r="43">
      <c r="A43" s="6" t="inlineStr">
        <is>
          <t>Отчисления</t>
        </is>
      </c>
      <c r="B43" s="7" t="inlineStr">
        <is>
          <t>руб./т</t>
        </is>
      </c>
      <c r="C43" s="8" t="inlineStr">
        <is>
          <t>Файл нормативов</t>
        </is>
      </c>
      <c r="D43" s="16" t="n">
        <v>19600</v>
      </c>
      <c r="E43" s="16" t="n">
        <v>19600</v>
      </c>
      <c r="F43" s="16" t="n">
        <v>19600</v>
      </c>
      <c r="G43" s="16" t="n">
        <v>19600</v>
      </c>
      <c r="H43" s="16" t="n">
        <v>19600</v>
      </c>
      <c r="I43" s="16" t="n">
        <v>19600</v>
      </c>
      <c r="J43" s="16" t="n">
        <v>19600</v>
      </c>
      <c r="K43" s="16" t="n">
        <v>19600</v>
      </c>
      <c r="L43" s="16" t="n">
        <v>19600</v>
      </c>
      <c r="M43" s="16" t="n">
        <v>19600</v>
      </c>
      <c r="N43" s="16" t="n">
        <v>19600</v>
      </c>
      <c r="O43" s="16" t="n">
        <v>19600</v>
      </c>
      <c r="P43" s="16" t="n">
        <v>19600</v>
      </c>
      <c r="Q43" s="16" t="n">
        <v>19600</v>
      </c>
      <c r="R43" s="16" t="n">
        <v>19600</v>
      </c>
      <c r="S43" s="16" t="n">
        <v>19600</v>
      </c>
      <c r="T43" s="16" t="n">
        <v>19600</v>
      </c>
      <c r="U43" s="16" t="n">
        <v>19600</v>
      </c>
      <c r="V43" s="16" t="n">
        <v>19600</v>
      </c>
    </row>
    <row r="44">
      <c r="A44" s="10" t="inlineStr">
        <is>
          <t>OPEX на нефть</t>
        </is>
      </c>
      <c r="B44" s="11" t="inlineStr">
        <is>
          <t>руб./т</t>
        </is>
      </c>
      <c r="C44" s="12" t="inlineStr">
        <is>
          <t>Файл нормативов</t>
        </is>
      </c>
      <c r="D44" s="14" t="n">
        <v>40</v>
      </c>
      <c r="E44" s="14" t="n">
        <v>40</v>
      </c>
      <c r="F44" s="14" t="n">
        <v>40</v>
      </c>
      <c r="G44" s="14" t="n">
        <v>40</v>
      </c>
      <c r="H44" s="14" t="n">
        <v>40</v>
      </c>
      <c r="I44" s="14" t="n">
        <v>40</v>
      </c>
      <c r="J44" s="14" t="n">
        <v>40</v>
      </c>
      <c r="K44" s="14" t="n">
        <v>40</v>
      </c>
      <c r="L44" s="14" t="n">
        <v>40</v>
      </c>
      <c r="M44" s="14" t="n">
        <v>40</v>
      </c>
      <c r="N44" s="14" t="n">
        <v>40</v>
      </c>
      <c r="O44" s="14" t="n">
        <v>40</v>
      </c>
      <c r="P44" s="14" t="n">
        <v>40</v>
      </c>
      <c r="Q44" s="14" t="n">
        <v>40</v>
      </c>
      <c r="R44" s="14" t="n">
        <v>40</v>
      </c>
      <c r="S44" s="14" t="n">
        <v>40</v>
      </c>
      <c r="T44" s="14" t="n">
        <v>40</v>
      </c>
      <c r="U44" s="14" t="n">
        <v>40</v>
      </c>
      <c r="V44" s="14" t="n">
        <v>40</v>
      </c>
    </row>
    <row r="45">
      <c r="A45" s="6" t="inlineStr">
        <is>
          <t>OPEX на жидкость</t>
        </is>
      </c>
      <c r="B45" s="7" t="inlineStr">
        <is>
          <t>руб./т</t>
        </is>
      </c>
      <c r="C45" s="8" t="inlineStr">
        <is>
          <t>Файл нормативов</t>
        </is>
      </c>
      <c r="D45" s="16" t="n">
        <v>100</v>
      </c>
      <c r="E45" s="16" t="n">
        <v>100</v>
      </c>
      <c r="F45" s="16" t="n">
        <v>100</v>
      </c>
      <c r="G45" s="16" t="n">
        <v>100</v>
      </c>
      <c r="H45" s="16" t="n">
        <v>100</v>
      </c>
      <c r="I45" s="16" t="n">
        <v>100</v>
      </c>
      <c r="J45" s="16" t="n">
        <v>100</v>
      </c>
      <c r="K45" s="16" t="n">
        <v>100</v>
      </c>
      <c r="L45" s="16" t="n">
        <v>100</v>
      </c>
      <c r="M45" s="16" t="n">
        <v>100</v>
      </c>
      <c r="N45" s="16" t="n">
        <v>100</v>
      </c>
      <c r="O45" s="16" t="n">
        <v>100</v>
      </c>
      <c r="P45" s="16" t="n">
        <v>100</v>
      </c>
      <c r="Q45" s="16" t="n">
        <v>100</v>
      </c>
      <c r="R45" s="16" t="n">
        <v>100</v>
      </c>
      <c r="S45" s="16" t="n">
        <v>100</v>
      </c>
      <c r="T45" s="16" t="n">
        <v>100</v>
      </c>
      <c r="U45" s="16" t="n">
        <v>100</v>
      </c>
      <c r="V45" s="16" t="n">
        <v>100</v>
      </c>
    </row>
    <row r="46">
      <c r="A46" s="10" t="inlineStr">
        <is>
          <t>OPEX на закачку</t>
        </is>
      </c>
      <c r="B46" s="11" t="inlineStr">
        <is>
          <t>руб./м³</t>
        </is>
      </c>
      <c r="C46" s="12" t="inlineStr">
        <is>
          <t>Файл нормативов</t>
        </is>
      </c>
      <c r="D46" s="14" t="n">
        <v>30</v>
      </c>
      <c r="E46" s="14" t="n">
        <v>30</v>
      </c>
      <c r="F46" s="14" t="n">
        <v>30</v>
      </c>
      <c r="G46" s="14" t="n">
        <v>30</v>
      </c>
      <c r="H46" s="14" t="n">
        <v>30</v>
      </c>
      <c r="I46" s="14" t="n">
        <v>30</v>
      </c>
      <c r="J46" s="14" t="n">
        <v>30</v>
      </c>
      <c r="K46" s="14" t="n">
        <v>30</v>
      </c>
      <c r="L46" s="14" t="n">
        <v>30</v>
      </c>
      <c r="M46" s="14" t="n">
        <v>30</v>
      </c>
      <c r="N46" s="14" t="n">
        <v>30</v>
      </c>
      <c r="O46" s="14" t="n">
        <v>30</v>
      </c>
      <c r="P46" s="14" t="n">
        <v>30</v>
      </c>
      <c r="Q46" s="14" t="n">
        <v>30</v>
      </c>
      <c r="R46" s="14" t="n">
        <v>30</v>
      </c>
      <c r="S46" s="14" t="n">
        <v>30</v>
      </c>
      <c r="T46" s="14" t="n">
        <v>30</v>
      </c>
      <c r="U46" s="14" t="n">
        <v>30</v>
      </c>
      <c r="V46" s="14" t="n">
        <v>30</v>
      </c>
    </row>
    <row r="47">
      <c r="A47" s="6" t="inlineStr">
        <is>
          <t>Содержание действующего фонда</t>
        </is>
      </c>
      <c r="B47" s="7" t="inlineStr">
        <is>
          <t>руб./скв.-год</t>
        </is>
      </c>
      <c r="C47" s="8" t="inlineStr">
        <is>
          <t>Файл нормативов</t>
        </is>
      </c>
      <c r="D47" s="16" t="n">
        <v>1000000</v>
      </c>
      <c r="E47" s="16" t="n">
        <v>1000000</v>
      </c>
      <c r="F47" s="16" t="n">
        <v>1000000</v>
      </c>
      <c r="G47" s="16" t="n">
        <v>1000000</v>
      </c>
      <c r="H47" s="16" t="n">
        <v>1000000</v>
      </c>
      <c r="I47" s="16" t="n">
        <v>1000000</v>
      </c>
      <c r="J47" s="16" t="n">
        <v>1000000</v>
      </c>
      <c r="K47" s="16" t="n">
        <v>1000000</v>
      </c>
      <c r="L47" s="16" t="n">
        <v>1000000</v>
      </c>
      <c r="M47" s="16" t="n">
        <v>1000000</v>
      </c>
      <c r="N47" s="16" t="n">
        <v>1000000</v>
      </c>
      <c r="O47" s="16" t="n">
        <v>1000000</v>
      </c>
      <c r="P47" s="16" t="n">
        <v>1000000</v>
      </c>
      <c r="Q47" s="16" t="n">
        <v>1000000</v>
      </c>
      <c r="R47" s="16" t="n">
        <v>1000000</v>
      </c>
      <c r="S47" s="16" t="n">
        <v>1000000</v>
      </c>
      <c r="T47" s="16" t="n">
        <v>1000000</v>
      </c>
      <c r="U47" s="16" t="n">
        <v>1000000</v>
      </c>
      <c r="V47" s="16" t="n">
        <v>1000000</v>
      </c>
    </row>
    <row r="48">
      <c r="A48" s="10" t="inlineStr">
        <is>
          <t>Ставка налога на прибыль</t>
        </is>
      </c>
      <c r="B48" s="11" t="inlineStr">
        <is>
          <t>%</t>
        </is>
      </c>
      <c r="C48" s="12" t="inlineStr">
        <is>
          <t>Файл нормативов</t>
        </is>
      </c>
      <c r="D48" s="18" t="n">
        <v>25</v>
      </c>
      <c r="E48" s="18" t="n">
        <v>25</v>
      </c>
      <c r="F48" s="18" t="n">
        <v>25</v>
      </c>
      <c r="G48" s="18" t="n">
        <v>25</v>
      </c>
      <c r="H48" s="18" t="n">
        <v>25</v>
      </c>
      <c r="I48" s="18" t="n">
        <v>25</v>
      </c>
      <c r="J48" s="18" t="n">
        <v>25</v>
      </c>
      <c r="K48" s="18" t="n">
        <v>25</v>
      </c>
      <c r="L48" s="18" t="n">
        <v>25</v>
      </c>
      <c r="M48" s="18" t="n">
        <v>25</v>
      </c>
      <c r="N48" s="18" t="n">
        <v>25</v>
      </c>
      <c r="O48" s="18" t="n">
        <v>25</v>
      </c>
      <c r="P48" s="18" t="n">
        <v>25</v>
      </c>
      <c r="Q48" s="18" t="n">
        <v>25</v>
      </c>
      <c r="R48" s="18" t="n">
        <v>25</v>
      </c>
      <c r="S48" s="18" t="n">
        <v>25</v>
      </c>
      <c r="T48" s="18" t="n">
        <v>25</v>
      </c>
      <c r="U48" s="18" t="n">
        <v>25</v>
      </c>
      <c r="V48" s="18" t="n">
        <v>25</v>
      </c>
    </row>
    <row r="49">
      <c r="A49" s="6" t="inlineStr">
        <is>
          <t>Ставка налога на имущество</t>
        </is>
      </c>
      <c r="B49" s="7" t="inlineStr">
        <is>
          <t>%</t>
        </is>
      </c>
      <c r="C49" s="8" t="inlineStr">
        <is>
          <t>Файл нормативов</t>
        </is>
      </c>
      <c r="D49" s="19" t="n">
        <v>2.2</v>
      </c>
      <c r="E49" s="19" t="n">
        <v>2.2</v>
      </c>
      <c r="F49" s="19" t="n">
        <v>2.2</v>
      </c>
      <c r="G49" s="19" t="n">
        <v>2.2</v>
      </c>
      <c r="H49" s="19" t="n">
        <v>2.2</v>
      </c>
      <c r="I49" s="19" t="n">
        <v>2.2</v>
      </c>
      <c r="J49" s="19" t="n">
        <v>2.2</v>
      </c>
      <c r="K49" s="19" t="n">
        <v>2.2</v>
      </c>
      <c r="L49" s="19" t="n">
        <v>2.2</v>
      </c>
      <c r="M49" s="19" t="n">
        <v>2.2</v>
      </c>
      <c r="N49" s="19" t="n">
        <v>2.2</v>
      </c>
      <c r="O49" s="19" t="n">
        <v>2.2</v>
      </c>
      <c r="P49" s="19" t="n">
        <v>2.2</v>
      </c>
      <c r="Q49" s="19" t="n">
        <v>2.2</v>
      </c>
      <c r="R49" s="19" t="n">
        <v>2.2</v>
      </c>
      <c r="S49" s="19" t="n">
        <v>2.2</v>
      </c>
      <c r="T49" s="19" t="n">
        <v>2.2</v>
      </c>
      <c r="U49" s="19" t="n">
        <v>2.2</v>
      </c>
      <c r="V49" s="19" t="n">
        <v>2.2</v>
      </c>
    </row>
    <row r="50">
      <c r="A50" s="10" t="inlineStr">
        <is>
          <t>WACC</t>
        </is>
      </c>
      <c r="B50" s="11" t="inlineStr">
        <is>
          <t>%</t>
        </is>
      </c>
      <c r="C50" s="12" t="inlineStr">
        <is>
          <t>Файл нормативов</t>
        </is>
      </c>
      <c r="D50" s="18" t="n">
        <v>10</v>
      </c>
      <c r="E50" s="18" t="n">
        <v>10</v>
      </c>
      <c r="F50" s="18" t="n">
        <v>10</v>
      </c>
      <c r="G50" s="18" t="n">
        <v>10</v>
      </c>
      <c r="H50" s="18" t="n">
        <v>10</v>
      </c>
      <c r="I50" s="18" t="n">
        <v>10</v>
      </c>
      <c r="J50" s="18" t="n">
        <v>10</v>
      </c>
      <c r="K50" s="18" t="n">
        <v>10</v>
      </c>
      <c r="L50" s="18" t="n">
        <v>10</v>
      </c>
      <c r="M50" s="18" t="n">
        <v>10</v>
      </c>
      <c r="N50" s="18" t="n">
        <v>10</v>
      </c>
      <c r="O50" s="18" t="n">
        <v>10</v>
      </c>
      <c r="P50" s="18" t="n">
        <v>10</v>
      </c>
      <c r="Q50" s="18" t="n">
        <v>10</v>
      </c>
      <c r="R50" s="18" t="n">
        <v>10</v>
      </c>
      <c r="S50" s="18" t="n">
        <v>10</v>
      </c>
      <c r="T50" s="18" t="n">
        <v>10</v>
      </c>
      <c r="U50" s="18" t="n">
        <v>10</v>
      </c>
      <c r="V50" s="18" t="n">
        <v>10</v>
      </c>
    </row>
    <row r="51" ht="22" customHeight="1">
      <c r="A51" s="20" t="inlineStr">
        <is>
          <t>Рассчитанные экономические показатели</t>
        </is>
      </c>
    </row>
    <row r="52">
      <c r="A52" s="10" t="inlineStr">
        <is>
          <t>Выручка от основной деятельности</t>
        </is>
      </c>
      <c r="B52" s="11" t="inlineStr">
        <is>
          <t>млн руб.</t>
        </is>
      </c>
      <c r="C52" s="12" t="inlineStr">
        <is>
          <t>Добыча нефти × цена</t>
        </is>
      </c>
      <c r="D52" s="13" t="n">
        <v>10255.34475384738</v>
      </c>
      <c r="E52" s="13" t="n">
        <v>11802.36091906134</v>
      </c>
      <c r="F52" s="13" t="n">
        <v>11247.8621553984</v>
      </c>
      <c r="G52" s="13" t="n">
        <v>9363.028659591011</v>
      </c>
      <c r="H52" s="13" t="n">
        <v>8151.17561445202</v>
      </c>
      <c r="I52" s="13" t="n">
        <v>7723.6215880353</v>
      </c>
      <c r="J52" s="13" t="n">
        <v>7197.480681009121</v>
      </c>
      <c r="K52" s="13" t="n">
        <v>6546.220283487791</v>
      </c>
      <c r="L52" s="13" t="n">
        <v>5990.811682998896</v>
      </c>
      <c r="M52" s="13" t="n">
        <v>5619.172258312092</v>
      </c>
      <c r="N52" s="13" t="n">
        <v>4954.102993428873</v>
      </c>
      <c r="O52" s="13" t="n">
        <v>4525.504085828054</v>
      </c>
      <c r="P52" s="13" t="n">
        <v>4348.196439471241</v>
      </c>
      <c r="Q52" s="13" t="n">
        <v>3960.72472611821</v>
      </c>
      <c r="R52" s="13" t="n">
        <v>3628.420610634929</v>
      </c>
      <c r="S52" s="13" t="n">
        <v>3397.721457876645</v>
      </c>
      <c r="T52" s="13" t="n">
        <v>3212.419726743193</v>
      </c>
      <c r="U52" s="13" t="n">
        <v>3033.136880878234</v>
      </c>
      <c r="V52" s="13" t="n">
        <v>1930.323460532737</v>
      </c>
    </row>
    <row r="53">
      <c r="A53" s="6" t="inlineStr">
        <is>
          <t>OPEX на нефть</t>
        </is>
      </c>
      <c r="B53" s="7" t="inlineStr">
        <is>
          <t>млн руб.</t>
        </is>
      </c>
      <c r="C53" s="8" t="inlineStr">
        <is>
          <t>Добыча нефти × норматив</t>
        </is>
      </c>
      <c r="D53" s="9" t="n">
        <v>14.65049250549626</v>
      </c>
      <c r="E53" s="9" t="n">
        <v>16.86051559865906</v>
      </c>
      <c r="F53" s="9" t="n">
        <v>16.068374507712</v>
      </c>
      <c r="G53" s="9" t="n">
        <v>13.37575522798716</v>
      </c>
      <c r="H53" s="9" t="n">
        <v>11.64453659207431</v>
      </c>
      <c r="I53" s="9" t="n">
        <v>11.03374512576472</v>
      </c>
      <c r="J53" s="9" t="n">
        <v>10.28211525858446</v>
      </c>
      <c r="K53" s="9" t="n">
        <v>9.351743262125416</v>
      </c>
      <c r="L53" s="9" t="n">
        <v>8.558302404284138</v>
      </c>
      <c r="M53" s="9" t="n">
        <v>8.027388940445846</v>
      </c>
      <c r="N53" s="9" t="n">
        <v>7.077289990612675</v>
      </c>
      <c r="O53" s="9" t="n">
        <v>6.465005836897221</v>
      </c>
      <c r="P53" s="9" t="n">
        <v>6.21170919924463</v>
      </c>
      <c r="Q53" s="9" t="n">
        <v>5.658178180168871</v>
      </c>
      <c r="R53" s="9" t="n">
        <v>5.183458015192756</v>
      </c>
      <c r="S53" s="9" t="n">
        <v>4.853887796966636</v>
      </c>
      <c r="T53" s="9" t="n">
        <v>4.589171038204562</v>
      </c>
      <c r="U53" s="9" t="n">
        <v>4.333052686968905</v>
      </c>
      <c r="V53" s="9" t="n">
        <v>2.757604943618197</v>
      </c>
    </row>
    <row r="54">
      <c r="A54" s="10" t="inlineStr">
        <is>
          <t>OPEX на жидкость</t>
        </is>
      </c>
      <c r="B54" s="11" t="inlineStr">
        <is>
          <t>млн руб.</t>
        </is>
      </c>
      <c r="C54" s="12" t="inlineStr">
        <is>
          <t>Добыча жидкости × норматив</t>
        </is>
      </c>
      <c r="D54" s="13" t="n">
        <v>41.20302179153074</v>
      </c>
      <c r="E54" s="13" t="n">
        <v>50.05556470259054</v>
      </c>
      <c r="F54" s="13" t="n">
        <v>53.0438719657655</v>
      </c>
      <c r="G54" s="13" t="n">
        <v>54.43277013195859</v>
      </c>
      <c r="H54" s="13" t="n">
        <v>59.42727259685018</v>
      </c>
      <c r="I54" s="13" t="n">
        <v>65.97713345302058</v>
      </c>
      <c r="J54" s="13" t="n">
        <v>70.42293319249477</v>
      </c>
      <c r="K54" s="13" t="n">
        <v>74.19570647279903</v>
      </c>
      <c r="L54" s="13" t="n">
        <v>79.10954252226804</v>
      </c>
      <c r="M54" s="13" t="n">
        <v>83.7442605185246</v>
      </c>
      <c r="N54" s="13" t="n">
        <v>87.13943200021478</v>
      </c>
      <c r="O54" s="13" t="n">
        <v>90.85334138209036</v>
      </c>
      <c r="P54" s="13" t="n">
        <v>94.93904377383629</v>
      </c>
      <c r="Q54" s="13" t="n">
        <v>97.61916186656418</v>
      </c>
      <c r="R54" s="13" t="n">
        <v>99.76403579896719</v>
      </c>
      <c r="S54" s="13" t="n">
        <v>102.2720244995124</v>
      </c>
      <c r="T54" s="13" t="n">
        <v>104.602268898064</v>
      </c>
      <c r="U54" s="13" t="n">
        <v>107.1465618664217</v>
      </c>
      <c r="V54" s="13" t="n">
        <v>72.55959879704028</v>
      </c>
    </row>
    <row r="55">
      <c r="A55" s="6" t="inlineStr">
        <is>
          <t>OPEX на закачку</t>
        </is>
      </c>
      <c r="B55" s="7" t="inlineStr">
        <is>
          <t>млн руб.</t>
        </is>
      </c>
      <c r="C55" s="8" t="inlineStr">
        <is>
          <t>Закачка × норматив</t>
        </is>
      </c>
      <c r="D55" s="9" t="n">
        <v>19.50495468753</v>
      </c>
      <c r="E55" s="9" t="n">
        <v>22.519517871</v>
      </c>
      <c r="F55" s="9" t="n">
        <v>23.71194457035</v>
      </c>
      <c r="G55" s="9" t="n">
        <v>24.35758624146</v>
      </c>
      <c r="H55" s="9" t="n">
        <v>25.8628077099</v>
      </c>
      <c r="I55" s="9" t="n">
        <v>27.85210980846</v>
      </c>
      <c r="J55" s="9" t="n">
        <v>28.55569138176</v>
      </c>
      <c r="K55" s="9" t="n">
        <v>29.26779251958</v>
      </c>
      <c r="L55" s="9" t="n">
        <v>30.35570682129</v>
      </c>
      <c r="M55" s="9" t="n">
        <v>31.45721068359</v>
      </c>
      <c r="N55" s="9" t="n">
        <v>32.46214596672</v>
      </c>
      <c r="O55" s="9" t="n">
        <v>33.18664369635</v>
      </c>
      <c r="P55" s="9" t="n">
        <v>34.14289223877</v>
      </c>
      <c r="Q55" s="9" t="n">
        <v>34.86593794182</v>
      </c>
      <c r="R55" s="9" t="n">
        <v>35.27068256844</v>
      </c>
      <c r="S55" s="9" t="n">
        <v>35.98939617186</v>
      </c>
      <c r="T55" s="9" t="n">
        <v>36.40081886718</v>
      </c>
      <c r="U55" s="9" t="n">
        <v>37.02499874997</v>
      </c>
      <c r="V55" s="9" t="n">
        <v>24.83308230474</v>
      </c>
    </row>
    <row r="56">
      <c r="A56" s="10" t="inlineStr">
        <is>
          <t>Содержание действующего фонда</t>
        </is>
      </c>
      <c r="B56" s="11" t="inlineStr">
        <is>
          <t>млн руб.</t>
        </is>
      </c>
      <c r="C56" s="12" t="inlineStr">
        <is>
          <t>Активные скважино-месяцы × годовой норматив / 12</t>
        </is>
      </c>
      <c r="D56" s="13" t="n">
        <v>83</v>
      </c>
      <c r="E56" s="13" t="n">
        <v>85.58333333333334</v>
      </c>
      <c r="F56" s="13" t="n">
        <v>87</v>
      </c>
      <c r="G56" s="13" t="n">
        <v>87.25</v>
      </c>
      <c r="H56" s="13" t="n">
        <v>89.25</v>
      </c>
      <c r="I56" s="13" t="n">
        <v>92</v>
      </c>
      <c r="J56" s="13" t="n">
        <v>93.58333333333333</v>
      </c>
      <c r="K56" s="13" t="n">
        <v>94.16666666666666</v>
      </c>
      <c r="L56" s="13" t="n">
        <v>96.5</v>
      </c>
      <c r="M56" s="13" t="n">
        <v>98.91666666666666</v>
      </c>
      <c r="N56" s="13" t="n">
        <v>99.99999999999999</v>
      </c>
      <c r="O56" s="13" t="n">
        <v>100.5833333333333</v>
      </c>
      <c r="P56" s="13" t="n">
        <v>103</v>
      </c>
      <c r="Q56" s="13" t="n">
        <v>103</v>
      </c>
      <c r="R56" s="13" t="n">
        <v>103</v>
      </c>
      <c r="S56" s="13" t="n">
        <v>103</v>
      </c>
      <c r="T56" s="13" t="n">
        <v>103</v>
      </c>
      <c r="U56" s="13" t="n">
        <v>103</v>
      </c>
      <c r="V56" s="13" t="n">
        <v>68.66666666666667</v>
      </c>
    </row>
    <row r="57">
      <c r="A57" s="6" t="inlineStr">
        <is>
          <t>Налог на имущество</t>
        </is>
      </c>
      <c r="B57" s="7" t="inlineStr">
        <is>
          <t>млн руб.</t>
        </is>
      </c>
      <c r="C57" s="8" t="inlineStr">
        <is>
          <t>((ОС нач. + ОС кон.) / 2) × 2,2%</t>
        </is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</row>
    <row r="58">
      <c r="A58" s="10" t="inlineStr">
        <is>
          <t>Полный OPEX</t>
        </is>
      </c>
      <c r="B58" s="11" t="inlineStr">
        <is>
          <t>млн руб.</t>
        </is>
      </c>
      <c r="C58" s="12" t="inlineStr">
        <is>
          <t>Все операционные затраты, включая события</t>
        </is>
      </c>
      <c r="D58" s="13" t="n">
        <v>216.358468984557</v>
      </c>
      <c r="E58" s="13" t="n">
        <v>207.4189315055829</v>
      </c>
      <c r="F58" s="13" t="n">
        <v>183.4241910438275</v>
      </c>
      <c r="G58" s="13" t="n">
        <v>191.8161116014058</v>
      </c>
      <c r="H58" s="13" t="n">
        <v>203.9846168988245</v>
      </c>
      <c r="I58" s="13" t="n">
        <v>222.2629883872453</v>
      </c>
      <c r="J58" s="13" t="n">
        <v>222.4440731661726</v>
      </c>
      <c r="K58" s="13" t="n">
        <v>217.9819089211711</v>
      </c>
      <c r="L58" s="13" t="n">
        <v>217.3235517478422</v>
      </c>
      <c r="M58" s="13" t="n">
        <v>228.7455268092271</v>
      </c>
      <c r="N58" s="13" t="n">
        <v>230.2788679575474</v>
      </c>
      <c r="O58" s="13" t="n">
        <v>234.0883242486709</v>
      </c>
      <c r="P58" s="13" t="n">
        <v>238.2936452118509</v>
      </c>
      <c r="Q58" s="13" t="n">
        <v>244.7432779885531</v>
      </c>
      <c r="R58" s="13" t="n">
        <v>245.0181763826</v>
      </c>
      <c r="S58" s="13" t="n">
        <v>263.7153084683391</v>
      </c>
      <c r="T58" s="13" t="n">
        <v>250.3922588034486</v>
      </c>
      <c r="U58" s="13" t="n">
        <v>260.5046133033606</v>
      </c>
      <c r="V58" s="13" t="n">
        <v>172.4169527120652</v>
      </c>
    </row>
    <row r="59">
      <c r="A59" s="6" t="inlineStr">
        <is>
          <t>CAPEX новых ЭЦН</t>
        </is>
      </c>
      <c r="B59" s="7" t="inlineStr">
        <is>
          <t>млн руб.</t>
        </is>
      </c>
      <c r="C59" s="8" t="inlineStr">
        <is>
          <t>Стоимость установленных новых насосов</t>
        </is>
      </c>
      <c r="D59" s="9" t="n">
        <v>17.75794</v>
      </c>
      <c r="E59" s="9" t="n">
        <v>9.10397</v>
      </c>
      <c r="F59" s="9" t="n">
        <v>1.4</v>
      </c>
      <c r="G59" s="9" t="n">
        <v>2.15</v>
      </c>
      <c r="H59" s="9" t="n">
        <v>4.4</v>
      </c>
      <c r="I59" s="9" t="n">
        <v>6.06191</v>
      </c>
      <c r="J59" s="9" t="n">
        <v>5.20397</v>
      </c>
      <c r="K59" s="9" t="n">
        <v>4.21191</v>
      </c>
      <c r="L59" s="9" t="n">
        <v>0.75</v>
      </c>
      <c r="M59" s="9" t="n">
        <v>1.3</v>
      </c>
      <c r="N59" s="9" t="n">
        <v>1.80794</v>
      </c>
      <c r="O59" s="9" t="n">
        <v>0</v>
      </c>
      <c r="P59" s="9" t="n">
        <v>0</v>
      </c>
      <c r="Q59" s="9" t="n">
        <v>1.65397</v>
      </c>
      <c r="R59" s="9" t="n">
        <v>0.9039700000000001</v>
      </c>
      <c r="S59" s="9" t="n">
        <v>7.81191</v>
      </c>
      <c r="T59" s="9" t="n">
        <v>0.75</v>
      </c>
      <c r="U59" s="9" t="n">
        <v>4.05794</v>
      </c>
      <c r="V59" s="9" t="n">
        <v>1.80794</v>
      </c>
    </row>
    <row r="60">
      <c r="A60" s="10" t="inlineStr">
        <is>
          <t>Амортизация</t>
        </is>
      </c>
      <c r="B60" s="11" t="inlineStr">
        <is>
          <t>млн руб.</t>
        </is>
      </c>
      <c r="C60" s="12" t="inlineStr">
        <is>
          <t>Годовой норматив / 12 по имеющимся месяцам</t>
        </is>
      </c>
      <c r="D60" s="13" t="n">
        <v>0</v>
      </c>
      <c r="E60" s="13" t="n">
        <v>0</v>
      </c>
      <c r="F60" s="13" t="n">
        <v>0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3" t="n">
        <v>0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0</v>
      </c>
      <c r="V60" s="13" t="n">
        <v>0</v>
      </c>
    </row>
    <row r="61">
      <c r="A61" s="6" t="inlineStr">
        <is>
          <t>Отчисления</t>
        </is>
      </c>
      <c r="B61" s="7" t="inlineStr">
        <is>
          <t>млн руб.</t>
        </is>
      </c>
      <c r="C61" s="8" t="inlineStr">
        <is>
          <t>Добыча нефти × норматив</t>
        </is>
      </c>
      <c r="D61" s="9" t="n">
        <v>7178.741327693166</v>
      </c>
      <c r="E61" s="9" t="n">
        <v>8261.652643342939</v>
      </c>
      <c r="F61" s="9" t="n">
        <v>7873.503508778881</v>
      </c>
      <c r="G61" s="9" t="n">
        <v>6554.120061713707</v>
      </c>
      <c r="H61" s="9" t="n">
        <v>5705.822930116414</v>
      </c>
      <c r="I61" s="9" t="n">
        <v>5406.53511162471</v>
      </c>
      <c r="J61" s="9" t="n">
        <v>5038.236476706385</v>
      </c>
      <c r="K61" s="9" t="n">
        <v>4582.354198441453</v>
      </c>
      <c r="L61" s="9" t="n">
        <v>4193.568178099227</v>
      </c>
      <c r="M61" s="9" t="n">
        <v>3933.420580818464</v>
      </c>
      <c r="N61" s="9" t="n">
        <v>3467.872095400211</v>
      </c>
      <c r="O61" s="9" t="n">
        <v>3167.852860079638</v>
      </c>
      <c r="P61" s="9" t="n">
        <v>3043.737507629869</v>
      </c>
      <c r="Q61" s="9" t="n">
        <v>2772.507308282747</v>
      </c>
      <c r="R61" s="9" t="n">
        <v>2539.89442744445</v>
      </c>
      <c r="S61" s="9" t="n">
        <v>2378.405020513652</v>
      </c>
      <c r="T61" s="9" t="n">
        <v>2248.693808720235</v>
      </c>
      <c r="U61" s="9" t="n">
        <v>2123.195816614763</v>
      </c>
      <c r="V61" s="9" t="n">
        <v>1351.226422372916</v>
      </c>
    </row>
    <row r="62">
      <c r="A62" s="10" t="inlineStr">
        <is>
          <t>Прибыль до налогообложения</t>
        </is>
      </c>
      <c r="B62" s="11" t="inlineStr">
        <is>
          <t>млн руб.</t>
        </is>
      </c>
      <c r="C62" s="12" t="inlineStr">
        <is>
          <t>Выручка − OPEX − амортизация − отчисления − ДиР</t>
        </is>
      </c>
      <c r="D62" s="13" t="n">
        <v>2860.244957169656</v>
      </c>
      <c r="E62" s="13" t="n">
        <v>3333.28934421282</v>
      </c>
      <c r="F62" s="13" t="n">
        <v>3190.934455575693</v>
      </c>
      <c r="G62" s="13" t="n">
        <v>2617.092486275897</v>
      </c>
      <c r="H62" s="13" t="n">
        <v>2241.368067436782</v>
      </c>
      <c r="I62" s="13" t="n">
        <v>2094.823488023344</v>
      </c>
      <c r="J62" s="13" t="n">
        <v>1936.800131136564</v>
      </c>
      <c r="K62" s="13" t="n">
        <v>1745.884176125166</v>
      </c>
      <c r="L62" s="13" t="n">
        <v>1579.919953151827</v>
      </c>
      <c r="M62" s="13" t="n">
        <v>1457.006150684401</v>
      </c>
      <c r="N62" s="13" t="n">
        <v>1255.952030071114</v>
      </c>
      <c r="O62" s="13" t="n">
        <v>1123.562901499746</v>
      </c>
      <c r="P62" s="13" t="n">
        <v>1066.165286629521</v>
      </c>
      <c r="Q62" s="13" t="n">
        <v>943.47413984691</v>
      </c>
      <c r="R62" s="13" t="n">
        <v>843.5080068078786</v>
      </c>
      <c r="S62" s="13" t="n">
        <v>755.6011288946546</v>
      </c>
      <c r="T62" s="13" t="n">
        <v>713.3336592195094</v>
      </c>
      <c r="U62" s="13" t="n">
        <v>649.4364509601095</v>
      </c>
      <c r="V62" s="13" t="n">
        <v>406.6800854477561</v>
      </c>
    </row>
    <row r="63">
      <c r="A63" s="6" t="inlineStr">
        <is>
          <t>Налог на прибыль</t>
        </is>
      </c>
      <c r="B63" s="7" t="inlineStr">
        <is>
          <t>млн руб.</t>
        </is>
      </c>
      <c r="C63" s="8" t="inlineStr">
        <is>
          <t>max(0; годовая налоговая база) × 25%</t>
        </is>
      </c>
      <c r="D63" s="9" t="n">
        <v>715.0612392924143</v>
      </c>
      <c r="E63" s="9" t="n">
        <v>833.3223360532049</v>
      </c>
      <c r="F63" s="9" t="n">
        <v>797.7336138939231</v>
      </c>
      <c r="G63" s="9" t="n">
        <v>654.2731215689744</v>
      </c>
      <c r="H63" s="9" t="n">
        <v>560.3420168591954</v>
      </c>
      <c r="I63" s="9" t="n">
        <v>523.7058720058361</v>
      </c>
      <c r="J63" s="9" t="n">
        <v>484.200032784141</v>
      </c>
      <c r="K63" s="9" t="n">
        <v>436.4710440312916</v>
      </c>
      <c r="L63" s="9" t="n">
        <v>394.9799882879568</v>
      </c>
      <c r="M63" s="9" t="n">
        <v>364.2515376711002</v>
      </c>
      <c r="N63" s="9" t="n">
        <v>313.9880075177785</v>
      </c>
      <c r="O63" s="9" t="n">
        <v>280.8907253749364</v>
      </c>
      <c r="P63" s="9" t="n">
        <v>266.5413216573803</v>
      </c>
      <c r="Q63" s="9" t="n">
        <v>235.8685349617275</v>
      </c>
      <c r="R63" s="9" t="n">
        <v>210.8770017019696</v>
      </c>
      <c r="S63" s="9" t="n">
        <v>188.9002822236636</v>
      </c>
      <c r="T63" s="9" t="n">
        <v>178.3334148048773</v>
      </c>
      <c r="U63" s="9" t="n">
        <v>162.3591127400274</v>
      </c>
      <c r="V63" s="9" t="n">
        <v>101.670021361939</v>
      </c>
    </row>
    <row r="64">
      <c r="A64" s="10" t="inlineStr">
        <is>
          <t>EBITDA</t>
        </is>
      </c>
      <c r="B64" s="11" t="inlineStr">
        <is>
          <t>млн руб.</t>
        </is>
      </c>
      <c r="C64" s="12" t="inlineStr">
        <is>
          <t>Выручка − OPEX − отчисления − ДиР в EBITDA</t>
        </is>
      </c>
      <c r="D64" s="13" t="n">
        <v>2860.244957169656</v>
      </c>
      <c r="E64" s="13" t="n">
        <v>3333.28934421282</v>
      </c>
      <c r="F64" s="13" t="n">
        <v>3190.934455575693</v>
      </c>
      <c r="G64" s="13" t="n">
        <v>2617.092486275897</v>
      </c>
      <c r="H64" s="13" t="n">
        <v>2241.368067436782</v>
      </c>
      <c r="I64" s="13" t="n">
        <v>2094.823488023344</v>
      </c>
      <c r="J64" s="13" t="n">
        <v>1936.800131136564</v>
      </c>
      <c r="K64" s="13" t="n">
        <v>1745.884176125166</v>
      </c>
      <c r="L64" s="13" t="n">
        <v>1579.919953151827</v>
      </c>
      <c r="M64" s="13" t="n">
        <v>1457.006150684401</v>
      </c>
      <c r="N64" s="13" t="n">
        <v>1255.952030071114</v>
      </c>
      <c r="O64" s="13" t="n">
        <v>1123.562901499746</v>
      </c>
      <c r="P64" s="13" t="n">
        <v>1066.165286629521</v>
      </c>
      <c r="Q64" s="13" t="n">
        <v>943.47413984691</v>
      </c>
      <c r="R64" s="13" t="n">
        <v>843.5080068078786</v>
      </c>
      <c r="S64" s="13" t="n">
        <v>755.6011288946546</v>
      </c>
      <c r="T64" s="13" t="n">
        <v>713.3336592195094</v>
      </c>
      <c r="U64" s="13" t="n">
        <v>649.4364509601095</v>
      </c>
      <c r="V64" s="13" t="n">
        <v>406.6800854477561</v>
      </c>
    </row>
    <row r="65">
      <c r="A65" s="6" t="inlineStr">
        <is>
          <t>FCF</t>
        </is>
      </c>
      <c r="B65" s="7" t="inlineStr">
        <is>
          <t>млн руб.</t>
        </is>
      </c>
      <c r="C65" s="8" t="inlineStr">
        <is>
          <t>EBITDA − налог на прибыль − CAPEX</t>
        </is>
      </c>
      <c r="D65" s="9" t="n">
        <v>2127.425777877242</v>
      </c>
      <c r="E65" s="9" t="n">
        <v>2490.863038159614</v>
      </c>
      <c r="F65" s="9" t="n">
        <v>2391.80084168177</v>
      </c>
      <c r="G65" s="9" t="n">
        <v>1960.669364706923</v>
      </c>
      <c r="H65" s="9" t="n">
        <v>1676.626050577586</v>
      </c>
      <c r="I65" s="9" t="n">
        <v>1565.055706017509</v>
      </c>
      <c r="J65" s="9" t="n">
        <v>1447.396128352423</v>
      </c>
      <c r="K65" s="9" t="n">
        <v>1305.201222093875</v>
      </c>
      <c r="L65" s="9" t="n">
        <v>1184.18996486387</v>
      </c>
      <c r="M65" s="9" t="n">
        <v>1091.454613013301</v>
      </c>
      <c r="N65" s="9" t="n">
        <v>940.1560825533356</v>
      </c>
      <c r="O65" s="9" t="n">
        <v>842.6721761248091</v>
      </c>
      <c r="P65" s="9" t="n">
        <v>799.623964972141</v>
      </c>
      <c r="Q65" s="9" t="n">
        <v>705.9516348851824</v>
      </c>
      <c r="R65" s="9" t="n">
        <v>631.727035105909</v>
      </c>
      <c r="S65" s="9" t="n">
        <v>558.888936670991</v>
      </c>
      <c r="T65" s="9" t="n">
        <v>534.2502444146321</v>
      </c>
      <c r="U65" s="9" t="n">
        <v>483.0193982200821</v>
      </c>
      <c r="V65" s="9" t="n">
        <v>303.2021240858171</v>
      </c>
    </row>
    <row r="66">
      <c r="A66" s="10" t="inlineStr">
        <is>
          <t>Коэффициент дисконтирования</t>
        </is>
      </c>
      <c r="B66" s="11" t="inlineStr">
        <is>
          <t>доля</t>
        </is>
      </c>
      <c r="C66" s="12" t="inlineStr">
        <is>
          <t>1 / (1 + WACC)^(год − стартовый год)</t>
        </is>
      </c>
      <c r="D66" s="21" t="n">
        <v>1</v>
      </c>
      <c r="E66" s="21" t="n">
        <v>0.9090909090909091</v>
      </c>
      <c r="F66" s="21" t="n">
        <v>0.8264462809917354</v>
      </c>
      <c r="G66" s="21" t="n">
        <v>0.7513148009015775</v>
      </c>
      <c r="H66" s="21" t="n">
        <v>0.6830134553650705</v>
      </c>
      <c r="I66" s="21" t="n">
        <v>0.6209213230591549</v>
      </c>
      <c r="J66" s="21" t="n">
        <v>0.5644739300537772</v>
      </c>
      <c r="K66" s="21" t="n">
        <v>0.5131581182307065</v>
      </c>
      <c r="L66" s="21" t="n">
        <v>0.4665073802097331</v>
      </c>
      <c r="M66" s="21" t="n">
        <v>0.4240976183724846</v>
      </c>
      <c r="N66" s="21" t="n">
        <v>0.3855432894295314</v>
      </c>
      <c r="O66" s="21" t="n">
        <v>0.3504938994813922</v>
      </c>
      <c r="P66" s="21" t="n">
        <v>0.3186308177103565</v>
      </c>
      <c r="Q66" s="21" t="n">
        <v>0.2896643797366877</v>
      </c>
      <c r="R66" s="21" t="n">
        <v>0.2633312543060797</v>
      </c>
      <c r="S66" s="21" t="n">
        <v>0.2393920493691633</v>
      </c>
      <c r="T66" s="21" t="n">
        <v>0.2176291357901485</v>
      </c>
      <c r="U66" s="21" t="n">
        <v>0.197844668900135</v>
      </c>
      <c r="V66" s="21" t="n">
        <v>0.1798587899092136</v>
      </c>
    </row>
    <row r="67">
      <c r="A67" s="6" t="inlineStr">
        <is>
          <t>ЧДД</t>
        </is>
      </c>
      <c r="B67" s="7" t="inlineStr">
        <is>
          <t>млн руб.</t>
        </is>
      </c>
      <c r="C67" s="8" t="inlineStr">
        <is>
          <t>FCF × коэффициент дисконтирования</t>
        </is>
      </c>
      <c r="D67" s="9" t="n">
        <v>2127.425777877242</v>
      </c>
      <c r="E67" s="9" t="n">
        <v>2264.420943781468</v>
      </c>
      <c r="F67" s="9" t="n">
        <v>1976.694910480801</v>
      </c>
      <c r="G67" s="9" t="n">
        <v>1473.079913378604</v>
      </c>
      <c r="H67" s="9" t="n">
        <v>1145.158152160089</v>
      </c>
      <c r="I67" s="9" t="n">
        <v>971.7764596416712</v>
      </c>
      <c r="J67" s="9" t="n">
        <v>817.0173809157136</v>
      </c>
      <c r="K67" s="9" t="n">
        <v>669.774603042111</v>
      </c>
      <c r="L67" s="9" t="n">
        <v>552.4333581792999</v>
      </c>
      <c r="M67" s="9" t="n">
        <v>462.8833019406025</v>
      </c>
      <c r="N67" s="9" t="n">
        <v>362.4708686447951</v>
      </c>
      <c r="O67" s="9" t="n">
        <v>295.3514569944548</v>
      </c>
      <c r="P67" s="9" t="n">
        <v>254.7848378198707</v>
      </c>
      <c r="Q67" s="9" t="n">
        <v>204.489042443117</v>
      </c>
      <c r="R67" s="9" t="n">
        <v>166.3534725334999</v>
      </c>
      <c r="S67" s="9" t="n">
        <v>133.7935679194211</v>
      </c>
      <c r="T67" s="9" t="n">
        <v>116.268418987632</v>
      </c>
      <c r="U67" s="9" t="n">
        <v>95.56281291319459</v>
      </c>
      <c r="V67" s="9" t="n">
        <v>54.53356713597828</v>
      </c>
    </row>
    <row r="68">
      <c r="A68" s="10" t="inlineStr">
        <is>
          <t>Накопленный ЧДД</t>
        </is>
      </c>
      <c r="B68" s="11" t="inlineStr">
        <is>
          <t>млн руб.</t>
        </is>
      </c>
      <c r="C68" s="12" t="inlineStr">
        <is>
          <t>Накопительная сумма ЧДД</t>
        </is>
      </c>
      <c r="D68" s="13" t="n">
        <v>2127.425777877242</v>
      </c>
      <c r="E68" s="13" t="n">
        <v>4391.846721658711</v>
      </c>
      <c r="F68" s="13" t="n">
        <v>6368.541632139511</v>
      </c>
      <c r="G68" s="13" t="n">
        <v>7841.621545518115</v>
      </c>
      <c r="H68" s="13" t="n">
        <v>8986.779697678205</v>
      </c>
      <c r="I68" s="13" t="n">
        <v>9958.556157319876</v>
      </c>
      <c r="J68" s="13" t="n">
        <v>10775.57353823559</v>
      </c>
      <c r="K68" s="13" t="n">
        <v>11445.3481412777</v>
      </c>
      <c r="L68" s="13" t="n">
        <v>11997.781499457</v>
      </c>
      <c r="M68" s="13" t="n">
        <v>12460.6648013976</v>
      </c>
      <c r="N68" s="13" t="n">
        <v>12823.1356700424</v>
      </c>
      <c r="O68" s="13" t="n">
        <v>13118.48712703685</v>
      </c>
      <c r="P68" s="13" t="n">
        <v>13373.27196485672</v>
      </c>
      <c r="Q68" s="13" t="n">
        <v>13577.76100729984</v>
      </c>
      <c r="R68" s="13" t="n">
        <v>13744.11447983334</v>
      </c>
      <c r="S68" s="13" t="n">
        <v>13877.90804775276</v>
      </c>
      <c r="T68" s="13" t="n">
        <v>13994.17646674039</v>
      </c>
      <c r="U68" s="13" t="n">
        <v>14089.73927965359</v>
      </c>
      <c r="V68" s="13" t="n">
        <v>14144.27284678957</v>
      </c>
    </row>
    <row r="69">
      <c r="A69" s="6" t="inlineStr">
        <is>
          <t>Дисконтированные притоки</t>
        </is>
      </c>
      <c r="B69" s="7" t="inlineStr">
        <is>
          <t>млн руб.</t>
        </is>
      </c>
      <c r="C69" s="8" t="inlineStr">
        <is>
          <t>Для расчета ИДДз</t>
        </is>
      </c>
      <c r="D69" s="9" t="n">
        <v>10255.34475384738</v>
      </c>
      <c r="E69" s="9" t="n">
        <v>10729.41901732849</v>
      </c>
      <c r="F69" s="9" t="n">
        <v>9295.753847436694</v>
      </c>
      <c r="G69" s="9" t="n">
        <v>7034.582013216384</v>
      </c>
      <c r="H69" s="9" t="n">
        <v>5567.362621714376</v>
      </c>
      <c r="I69" s="9" t="n">
        <v>4795.76133525113</v>
      </c>
      <c r="J69" s="9" t="n">
        <v>4062.790206495356</v>
      </c>
      <c r="K69" s="9" t="n">
        <v>3359.246082198276</v>
      </c>
      <c r="L69" s="9" t="n">
        <v>2794.757863565677</v>
      </c>
      <c r="M69" s="9" t="n">
        <v>2383.077571974894</v>
      </c>
      <c r="N69" s="9" t="n">
        <v>1910.021164259256</v>
      </c>
      <c r="O69" s="9" t="n">
        <v>1586.161574160848</v>
      </c>
      <c r="P69" s="9" t="n">
        <v>1385.469387073982</v>
      </c>
      <c r="Q69" s="9" t="n">
        <v>1147.280871098794</v>
      </c>
      <c r="R69" s="9" t="n">
        <v>955.4765505485276</v>
      </c>
      <c r="S69" s="9" t="n">
        <v>813.3875029866715</v>
      </c>
      <c r="T69" s="9" t="n">
        <v>699.1161289263462</v>
      </c>
      <c r="U69" s="9" t="n">
        <v>600.0899619261422</v>
      </c>
      <c r="V69" s="9" t="n">
        <v>347.1856417447838</v>
      </c>
    </row>
    <row r="70">
      <c r="A70" s="10" t="inlineStr">
        <is>
          <t>Дисконтированные оттоки</t>
        </is>
      </c>
      <c r="B70" s="11" t="inlineStr">
        <is>
          <t>млн руб.</t>
        </is>
      </c>
      <c r="C70" s="12" t="inlineStr">
        <is>
          <t>CAPEX + OPEX + отчисления + налог + положительные ДиР</t>
        </is>
      </c>
      <c r="D70" s="13" t="n">
        <v>8127.918975970138</v>
      </c>
      <c r="E70" s="13" t="n">
        <v>8464.998073547025</v>
      </c>
      <c r="F70" s="13" t="n">
        <v>7319.058936955893</v>
      </c>
      <c r="G70" s="13" t="n">
        <v>5561.502099837779</v>
      </c>
      <c r="H70" s="13" t="n">
        <v>4422.204469554287</v>
      </c>
      <c r="I70" s="13" t="n">
        <v>3823.984875609459</v>
      </c>
      <c r="J70" s="13" t="n">
        <v>3245.772825579642</v>
      </c>
      <c r="K70" s="13" t="n">
        <v>2689.471479156166</v>
      </c>
      <c r="L70" s="13" t="n">
        <v>2242.324505386377</v>
      </c>
      <c r="M70" s="13" t="n">
        <v>1920.194270034291</v>
      </c>
      <c r="N70" s="13" t="n">
        <v>1547.550295614461</v>
      </c>
      <c r="O70" s="13" t="n">
        <v>1290.810117166393</v>
      </c>
      <c r="P70" s="13" t="n">
        <v>1130.684549254112</v>
      </c>
      <c r="Q70" s="13" t="n">
        <v>942.7918286556765</v>
      </c>
      <c r="R70" s="13" t="n">
        <v>789.1230780150278</v>
      </c>
      <c r="S70" s="13" t="n">
        <v>679.5939350672504</v>
      </c>
      <c r="T70" s="13" t="n">
        <v>582.8477099387142</v>
      </c>
      <c r="U70" s="13" t="n">
        <v>504.5271490129476</v>
      </c>
      <c r="V70" s="13" t="n">
        <v>292.6520746088055</v>
      </c>
    </row>
    <row r="71">
      <c r="A71" s="6" t="inlineStr">
        <is>
          <t>ИДДз</t>
        </is>
      </c>
      <c r="B71" s="7" t="inlineStr">
        <is>
          <t>д. ед.</t>
        </is>
      </c>
      <c r="C71" s="8" t="inlineStr">
        <is>
          <t>Накопленные дисконтированные притоки / оттоки</t>
        </is>
      </c>
      <c r="D71" s="22" t="n">
        <v>1.261742985402154</v>
      </c>
      <c r="E71" s="22" t="n">
        <v>1.264682015136483</v>
      </c>
      <c r="F71" s="22" t="n">
        <v>1.266332721132799</v>
      </c>
      <c r="G71" s="22" t="n">
        <v>1.266056877391753</v>
      </c>
      <c r="H71" s="22" t="n">
        <v>1.265130512798102</v>
      </c>
      <c r="I71" s="22" t="n">
        <v>1.264014951229663</v>
      </c>
      <c r="J71" s="22" t="n">
        <v>1.263040589106815</v>
      </c>
      <c r="K71" s="22" t="n">
        <v>1.262177786784623</v>
      </c>
      <c r="L71" s="22" t="n">
        <v>1.261405315045601</v>
      </c>
      <c r="M71" s="22" t="n">
        <v>1.260588339190804</v>
      </c>
      <c r="N71" s="22" t="n">
        <v>1.259761787817008</v>
      </c>
      <c r="O71" s="22" t="n">
        <v>1.258973098388931</v>
      </c>
      <c r="P71" s="22" t="n">
        <v>1.258238697315039</v>
      </c>
      <c r="Q71" s="22" t="n">
        <v>1.257499519753463</v>
      </c>
      <c r="R71" s="22" t="n">
        <v>1.256811058444745</v>
      </c>
      <c r="S71" s="22" t="n">
        <v>1.256059486769666</v>
      </c>
      <c r="T71" s="22" t="n">
        <v>1.25545753778012</v>
      </c>
      <c r="U71" s="22" t="n">
        <v>1.254854802249149</v>
      </c>
      <c r="V71" s="22" t="n">
        <v>1.254494044118088</v>
      </c>
    </row>
    <row r="72">
      <c r="A72" s="23" t="inlineStr">
        <is>
          <t>Контроль расчета</t>
        </is>
      </c>
    </row>
    <row r="73">
      <c r="A73" s="6" t="inlineStr">
        <is>
          <t>FCF = EBITDA − налог на прибыль − CAPEX</t>
        </is>
      </c>
      <c r="B73" s="7" t="inlineStr">
        <is>
          <t>0 = ОК</t>
        </is>
      </c>
      <c r="C73" s="8" t="n"/>
      <c r="D73" s="24" t="n">
        <v>2.664535259100376e-13</v>
      </c>
      <c r="E73" s="24" t="n">
        <v>-3.446132268436486e-13</v>
      </c>
      <c r="F73" s="24" t="n">
        <v>3.637090628672013e-13</v>
      </c>
      <c r="G73" s="24" t="n">
        <v>-9.103828801926284e-14</v>
      </c>
      <c r="H73" s="24" t="n">
        <v>-9.059419880941277e-14</v>
      </c>
      <c r="I73" s="24" t="n">
        <v>2.158273559871304e-13</v>
      </c>
      <c r="J73" s="24" t="n">
        <v>-8.348877145181177e-14</v>
      </c>
      <c r="K73" s="24" t="n">
        <v>-1.021405182655144e-13</v>
      </c>
      <c r="L73" s="24" t="n">
        <v>0</v>
      </c>
      <c r="M73" s="24" t="n">
        <v>1.023625628704394e-13</v>
      </c>
      <c r="N73" s="24" t="n">
        <v>-8.72635297355373e-14</v>
      </c>
      <c r="O73" s="24" t="n">
        <v>-5.684341886080801e-14</v>
      </c>
      <c r="P73" s="24" t="n">
        <v>1.13686837721616e-13</v>
      </c>
      <c r="Q73" s="24" t="n">
        <v>-7.194245199571014e-14</v>
      </c>
      <c r="R73" s="24" t="n">
        <v>1.321165399303936e-14</v>
      </c>
      <c r="S73" s="24" t="n">
        <v>4.529709940470639e-14</v>
      </c>
      <c r="T73" s="24" t="n">
        <v>5.684341886080801e-14</v>
      </c>
      <c r="U73" s="24" t="n">
        <v>-1.77635683940025e-15</v>
      </c>
      <c r="V73" s="24" t="n">
        <v>-1.620925615952729e-14</v>
      </c>
    </row>
    <row r="74">
      <c r="A74" s="10" t="inlineStr">
        <is>
          <t>Стоимость остановок/запусков = количество × 1 млн руб.</t>
        </is>
      </c>
      <c r="B74" s="11" t="inlineStr">
        <is>
          <t>0 = ОК</t>
        </is>
      </c>
      <c r="C74" s="12" t="n"/>
      <c r="D74" s="25" t="n">
        <v>0</v>
      </c>
      <c r="E74" s="25" t="n">
        <v>0</v>
      </c>
      <c r="F74" s="25" t="n">
        <v>0</v>
      </c>
      <c r="G74" s="25" t="n">
        <v>0</v>
      </c>
      <c r="H74" s="25" t="n">
        <v>0</v>
      </c>
      <c r="I74" s="25" t="n">
        <v>0</v>
      </c>
      <c r="J74" s="25" t="n">
        <v>0</v>
      </c>
      <c r="K74" s="25" t="n">
        <v>0</v>
      </c>
      <c r="L74" s="25" t="n">
        <v>0</v>
      </c>
      <c r="M74" s="25" t="n">
        <v>0</v>
      </c>
      <c r="N74" s="25" t="n">
        <v>0</v>
      </c>
      <c r="O74" s="25" t="n">
        <v>0</v>
      </c>
      <c r="P74" s="25" t="n">
        <v>0</v>
      </c>
      <c r="Q74" s="25" t="n">
        <v>0</v>
      </c>
      <c r="R74" s="25" t="n">
        <v>0</v>
      </c>
      <c r="S74" s="25" t="n">
        <v>0</v>
      </c>
      <c r="T74" s="25" t="n">
        <v>0</v>
      </c>
      <c r="U74" s="25" t="n">
        <v>0</v>
      </c>
      <c r="V74" s="25" t="n">
        <v>0</v>
      </c>
    </row>
    <row r="75">
      <c r="A75" s="6" t="inlineStr">
        <is>
          <t>Стоимость переводов = количество × 5 млн руб.</t>
        </is>
      </c>
      <c r="B75" s="7" t="inlineStr">
        <is>
          <t>0 = ОК</t>
        </is>
      </c>
      <c r="C75" s="8" t="n"/>
      <c r="D75" s="24" t="n">
        <v>0</v>
      </c>
      <c r="E75" s="24" t="n">
        <v>0</v>
      </c>
      <c r="F75" s="24" t="n">
        <v>0</v>
      </c>
      <c r="G75" s="24" t="n">
        <v>0</v>
      </c>
      <c r="H75" s="24" t="n">
        <v>0</v>
      </c>
      <c r="I75" s="24" t="n">
        <v>0</v>
      </c>
      <c r="J75" s="24" t="n">
        <v>0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0</v>
      </c>
      <c r="V75" s="24" t="n">
        <v>0</v>
      </c>
    </row>
  </sheetData>
  <mergeCells count="8">
    <mergeCell ref="A2:V2"/>
    <mergeCell ref="A51:V51"/>
    <mergeCell ref="A72:V72"/>
    <mergeCell ref="A41:V41"/>
    <mergeCell ref="A1:V1"/>
    <mergeCell ref="A6:V6"/>
    <mergeCell ref="A18:V18"/>
    <mergeCell ref="A3:V3"/>
  </mergeCells>
  <conditionalFormatting sqref="D6:V75">
    <cfRule type="cellIs" priority="1" operator="lessThan" dxfId="0">
      <formula>0</formula>
    </cfRule>
  </conditionalFormatting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2026-09-09T20:31:37Z</dcterms:created>
  <dcterms:modified xsi:type="dcterms:W3CDTF">2026-09-09T20:31:37Z</dcterms:modified>
</cp:coreProperties>
</file>