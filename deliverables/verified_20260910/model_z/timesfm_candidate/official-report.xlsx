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ЧДД по годам" sheetId="1" state="visible" r:id="rId1"/>
  </sheets>
  <definedNames>
    <definedName name="_xlnm.Print_Area" localSheetId="0">'ЧДД по годам'!$A$1:$V$75</definedName>
  </definedNames>
  <calcPr calcId="124519" fullCalcOnLoad="1" forceFullCalc="1"/>
</workbook>
</file>

<file path=xl/styles.xml><?xml version="1.0" encoding="utf-8"?>
<styleSheet xmlns="http://schemas.openxmlformats.org/spreadsheetml/2006/main">
  <numFmts count="5">
    <numFmt numFmtId="164" formatCode="#,##0.000;[Red]-#,##0.000;–"/>
    <numFmt numFmtId="165" formatCode="#,##0;[Red]-#,##0;–"/>
    <numFmt numFmtId="166" formatCode="0.0&quot;%&quot;"/>
    <numFmt numFmtId="167" formatCode="0.000"/>
    <numFmt numFmtId="168" formatCode="0.000000;[Red]-0.000000;0.000000"/>
  </numFmts>
  <fonts count="8">
    <font>
      <name val="Calibri"/>
      <family val="2"/>
      <color theme="1"/>
      <sz val="11"/>
      <scheme val="minor"/>
    </font>
    <font>
      <b val="1"/>
      <color rgb="00FFFFFF"/>
      <sz val="16"/>
    </font>
    <font>
      <i val="1"/>
      <color rgb="0052677B"/>
      <sz val="9"/>
    </font>
    <font>
      <b val="1"/>
      <color rgb="0017324D"/>
      <sz val="11"/>
    </font>
    <font>
      <b val="1"/>
      <color rgb="00FFFFFF"/>
    </font>
    <font>
      <b val="1"/>
      <color rgb="00FFFFFF"/>
      <sz val="11"/>
    </font>
    <font>
      <color rgb="0017324D"/>
    </font>
    <font>
      <i val="1"/>
      <color rgb="0066788A"/>
      <sz val="9"/>
    </font>
  </fonts>
  <fills count="11">
    <fill>
      <patternFill/>
    </fill>
    <fill>
      <patternFill patternType="gray125"/>
    </fill>
    <fill>
      <patternFill patternType="solid">
        <fgColor rgb="0017324D"/>
      </patternFill>
    </fill>
    <fill>
      <patternFill patternType="solid">
        <fgColor rgb="00DDEBF7"/>
      </patternFill>
    </fill>
    <fill>
      <patternFill patternType="solid">
        <fgColor rgb="00284B63"/>
      </patternFill>
    </fill>
    <fill>
      <patternFill patternType="solid">
        <fgColor rgb="005B9BD5"/>
      </patternFill>
    </fill>
    <fill>
      <patternFill patternType="solid">
        <fgColor rgb="00ED7D31"/>
      </patternFill>
    </fill>
    <fill>
      <patternFill patternType="solid">
        <fgColor rgb="0070AD47"/>
      </patternFill>
    </fill>
    <fill>
      <patternFill patternType="solid">
        <fgColor rgb="004472C4"/>
      </patternFill>
    </fill>
    <fill>
      <patternFill patternType="solid">
        <fgColor rgb="007F8C8D"/>
      </patternFill>
    </fill>
    <fill>
      <patternFill patternType="solid">
        <fgColor rgb="00F7FAFC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0" borderId="0" pivotButton="0" quotePrefix="0" xfId="0"/>
    <xf numFmtId="0" fontId="3" fillId="3" borderId="0" applyAlignment="1" pivotButton="0" quotePrefix="0" xfId="0">
      <alignment vertical="center"/>
    </xf>
    <xf numFmtId="0" fontId="4" fillId="4" borderId="0" applyAlignment="1" pivotButton="0" quotePrefix="0" xfId="0">
      <alignment horizontal="center" vertical="center" wrapText="1"/>
    </xf>
    <xf numFmtId="0" fontId="5" fillId="5" borderId="0" applyAlignment="1" pivotButton="0" quotePrefix="0" xfId="0">
      <alignment vertical="center"/>
    </xf>
    <xf numFmtId="0" fontId="6" fillId="0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center" wrapText="1"/>
    </xf>
    <xf numFmtId="0" fontId="7" fillId="0" borderId="1" applyAlignment="1" pivotButton="0" quotePrefix="0" xfId="0">
      <alignment vertical="center" wrapText="1"/>
    </xf>
    <xf numFmtId="164" fontId="0" fillId="0" borderId="1" applyAlignment="1" pivotButton="0" quotePrefix="0" xfId="0">
      <alignment vertical="center"/>
    </xf>
    <xf numFmtId="0" fontId="6" fillId="10" borderId="1" applyAlignment="1" pivotButton="0" quotePrefix="0" xfId="0">
      <alignment vertical="center" wrapText="1"/>
    </xf>
    <xf numFmtId="0" fontId="0" fillId="10" borderId="1" applyAlignment="1" pivotButton="0" quotePrefix="0" xfId="0">
      <alignment vertical="center" wrapText="1"/>
    </xf>
    <xf numFmtId="0" fontId="7" fillId="10" borderId="1" applyAlignment="1" pivotButton="0" quotePrefix="0" xfId="0">
      <alignment vertical="center" wrapText="1"/>
    </xf>
    <xf numFmtId="164" fontId="0" fillId="10" borderId="1" applyAlignment="1" pivotButton="0" quotePrefix="0" xfId="0">
      <alignment vertical="center"/>
    </xf>
    <xf numFmtId="165" fontId="0" fillId="10" borderId="1" applyAlignment="1" pivotButton="0" quotePrefix="0" xfId="0">
      <alignment vertical="center"/>
    </xf>
    <xf numFmtId="0" fontId="5" fillId="6" borderId="0" applyAlignment="1" pivotButton="0" quotePrefix="0" xfId="0">
      <alignment vertical="center"/>
    </xf>
    <xf numFmtId="165" fontId="0" fillId="0" borderId="1" applyAlignment="1" pivotButton="0" quotePrefix="0" xfId="0">
      <alignment vertical="center"/>
    </xf>
    <xf numFmtId="0" fontId="5" fillId="7" borderId="0" applyAlignment="1" pivotButton="0" quotePrefix="0" xfId="0">
      <alignment vertical="center"/>
    </xf>
    <xf numFmtId="166" fontId="0" fillId="10" borderId="1" applyAlignment="1" pivotButton="0" quotePrefix="0" xfId="0">
      <alignment vertical="center"/>
    </xf>
    <xf numFmtId="166" fontId="0" fillId="0" borderId="1" applyAlignment="1" pivotButton="0" quotePrefix="0" xfId="0">
      <alignment vertical="center"/>
    </xf>
    <xf numFmtId="0" fontId="5" fillId="8" borderId="0" applyAlignment="1" pivotButton="0" quotePrefix="0" xfId="0">
      <alignment vertical="center"/>
    </xf>
    <xf numFmtId="167" fontId="0" fillId="10" borderId="1" applyAlignment="1" pivotButton="0" quotePrefix="0" xfId="0">
      <alignment vertical="center"/>
    </xf>
    <xf numFmtId="167" fontId="0" fillId="0" borderId="1" applyAlignment="1" pivotButton="0" quotePrefix="0" xfId="0">
      <alignment vertical="center"/>
    </xf>
    <xf numFmtId="0" fontId="4" fillId="9" borderId="0" pivotButton="0" quotePrefix="0" xfId="0"/>
    <xf numFmtId="168" fontId="0" fillId="0" borderId="1" applyAlignment="1" pivotButton="0" quotePrefix="0" xfId="0">
      <alignment vertical="center"/>
    </xf>
    <xf numFmtId="168" fontId="0" fillId="10" borderId="1" applyAlignment="1" pivotButton="0" quotePrefix="0" xfId="0">
      <alignment vertical="center"/>
    </xf>
  </cellXfs>
  <cellStyles count="1">
    <cellStyle name="Normal" xfId="0" builtinId="0" hidden="0"/>
  </cellStyles>
  <dxfs count="1">
    <dxf>
      <fill>
        <patternFill patternType="solid">
          <fgColor rgb="00FCE8E6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V75"/>
  <sheetViews>
    <sheetView showGridLines="0" workbookViewId="0">
      <pane xSplit="3" ySplit="5" topLeftCell="D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4" customWidth="1" min="1" max="1"/>
    <col width="18" customWidth="1" min="2" max="2"/>
    <col width="58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16" customWidth="1" min="22" max="22"/>
  </cols>
  <sheetData>
    <row r="1" ht="30" customHeight="1">
      <c r="A1" s="1" t="inlineStr">
        <is>
          <t>РАСЧЕТ ЧИСТОГО ДИСКОНТИРОВАННОГО ДОХОДА (ЧДД)</t>
        </is>
      </c>
    </row>
    <row r="2">
      <c r="A2" s="2" t="inlineStr">
        <is>
          <t>Источник: /root/projects/TimesOil/results/audit-20260909/timesfm-early-identity-z-policy-20260910/cycles/candidate/.chdd-sq90py0s/input.csv  |  Период: 2007–2025  |  Версия ядра: 7.0.2-negative-row-filter</t>
        </is>
      </c>
    </row>
    <row r="3" ht="24" customHeight="1">
      <c r="A3" s="3" t="inlineStr">
        <is>
          <t>Итоговый ЧДД: 14 092.343 млн руб.   |   ИДДз: 1.255   |   Остановки/запуски: 23 событий   |   Переводы под закачку: 9</t>
        </is>
      </c>
    </row>
    <row r="5" ht="34" customHeight="1">
      <c r="A5" s="4" t="inlineStr">
        <is>
          <t>Показатель</t>
        </is>
      </c>
      <c r="B5" s="4" t="inlineStr">
        <is>
          <t>Ед. изм.</t>
        </is>
      </c>
      <c r="C5" s="4" t="inlineStr">
        <is>
          <t>Методика / источник</t>
        </is>
      </c>
      <c r="D5" s="4" t="n">
        <v>2007</v>
      </c>
      <c r="E5" s="4" t="n">
        <v>2008</v>
      </c>
      <c r="F5" s="4" t="n">
        <v>2009</v>
      </c>
      <c r="G5" s="4" t="n">
        <v>2010</v>
      </c>
      <c r="H5" s="4" t="n">
        <v>2011</v>
      </c>
      <c r="I5" s="4" t="n">
        <v>2012</v>
      </c>
      <c r="J5" s="4" t="n">
        <v>2013</v>
      </c>
      <c r="K5" s="4" t="n">
        <v>2014</v>
      </c>
      <c r="L5" s="4" t="n">
        <v>2015</v>
      </c>
      <c r="M5" s="4" t="n">
        <v>2016</v>
      </c>
      <c r="N5" s="4" t="n">
        <v>2017</v>
      </c>
      <c r="O5" s="4" t="n">
        <v>2018</v>
      </c>
      <c r="P5" s="4" t="n">
        <v>2019</v>
      </c>
      <c r="Q5" s="4" t="n">
        <v>2020</v>
      </c>
      <c r="R5" s="4" t="n">
        <v>2021</v>
      </c>
      <c r="S5" s="4" t="n">
        <v>2022</v>
      </c>
      <c r="T5" s="4" t="n">
        <v>2023</v>
      </c>
      <c r="U5" s="4" t="n">
        <v>2024</v>
      </c>
      <c r="V5" s="4" t="n">
        <v>2025</v>
      </c>
    </row>
    <row r="6" ht="22" customHeight="1">
      <c r="A6" s="5" t="inlineStr">
        <is>
          <t>Исходные производственные показатели</t>
        </is>
      </c>
    </row>
    <row r="7">
      <c r="A7" s="6" t="inlineStr">
        <is>
          <t>Накопленная добыча жидкости</t>
        </is>
      </c>
      <c r="B7" s="7" t="inlineStr">
        <is>
          <t>тыс. т</t>
        </is>
      </c>
      <c r="C7" s="8" t="inlineStr">
        <is>
          <t>Сумма последних счетчиков WLPT по скважинам на конец года</t>
        </is>
      </c>
      <c r="D7" s="9" t="n">
        <v>1916.704776942331</v>
      </c>
      <c r="E7" s="9" t="n">
        <v>2415.844065739694</v>
      </c>
      <c r="F7" s="9" t="n">
        <v>2944.993902593317</v>
      </c>
      <c r="G7" s="9" t="n">
        <v>3489.19903473992</v>
      </c>
      <c r="H7" s="9" t="n">
        <v>4081.72578011058</v>
      </c>
      <c r="I7" s="9" t="n">
        <v>4738.121882975597</v>
      </c>
      <c r="J7" s="9" t="n">
        <v>5435.722995552069</v>
      </c>
      <c r="K7" s="9" t="n">
        <v>6170.647170560122</v>
      </c>
      <c r="L7" s="9" t="n">
        <v>6953.696245082027</v>
      </c>
      <c r="M7" s="9" t="n">
        <v>7782.387897681647</v>
      </c>
      <c r="N7" s="9" t="n">
        <v>8644.268524005773</v>
      </c>
      <c r="O7" s="9" t="n">
        <v>9542.786815742866</v>
      </c>
      <c r="P7" s="9" t="n">
        <v>10482.21802209614</v>
      </c>
      <c r="Q7" s="9" t="n">
        <v>11449.36880131495</v>
      </c>
      <c r="R7" s="9" t="n">
        <v>12437.24869080448</v>
      </c>
      <c r="S7" s="9" t="n">
        <v>13449.59612401783</v>
      </c>
      <c r="T7" s="9" t="n">
        <v>14485.26239779133</v>
      </c>
      <c r="U7" s="9" t="n">
        <v>15546.14599620645</v>
      </c>
      <c r="V7" s="9" t="n">
        <v>16264.58081937182</v>
      </c>
    </row>
    <row r="8">
      <c r="A8" s="10" t="inlineStr">
        <is>
          <t>Накопленная добыча нефти</t>
        </is>
      </c>
      <c r="B8" s="11" t="inlineStr">
        <is>
          <t>тыс. т</t>
        </is>
      </c>
      <c r="C8" s="12" t="inlineStr">
        <is>
          <t>Сумма последних счетчиков WOMT по скважинам на конец года</t>
        </is>
      </c>
      <c r="D8" s="13" t="n">
        <v>1723.658826069763</v>
      </c>
      <c r="E8" s="13" t="n">
        <v>2143.764401532144</v>
      </c>
      <c r="F8" s="13" t="n">
        <v>2544.471238370205</v>
      </c>
      <c r="G8" s="13" t="n">
        <v>2878.904674194498</v>
      </c>
      <c r="H8" s="13" t="n">
        <v>3169.658369075908</v>
      </c>
      <c r="I8" s="13" t="n">
        <v>3445.23814367603</v>
      </c>
      <c r="J8" s="13" t="n">
        <v>3699.84935158007</v>
      </c>
      <c r="K8" s="13" t="n">
        <v>3931.230530305425</v>
      </c>
      <c r="L8" s="13" t="n">
        <v>4143.232373546362</v>
      </c>
      <c r="M8" s="13" t="n">
        <v>4341.620345454676</v>
      </c>
      <c r="N8" s="13" t="n">
        <v>4516.581152621317</v>
      </c>
      <c r="O8" s="13" t="n">
        <v>4676.952100690261</v>
      </c>
      <c r="P8" s="13" t="n">
        <v>4831.444865310174</v>
      </c>
      <c r="Q8" s="13" t="n">
        <v>4973.780994657234</v>
      </c>
      <c r="R8" s="13" t="n">
        <v>5104.564712883479</v>
      </c>
      <c r="S8" s="13" t="n">
        <v>5226.106502767334</v>
      </c>
      <c r="T8" s="13" t="n">
        <v>5340.254844740782</v>
      </c>
      <c r="U8" s="13" t="n">
        <v>5447.797698663208</v>
      </c>
      <c r="V8" s="13" t="n">
        <v>5516.254290765401</v>
      </c>
    </row>
    <row r="9">
      <c r="A9" s="6" t="inlineStr">
        <is>
          <t>Накопленная закачка воды</t>
        </is>
      </c>
      <c r="B9" s="7" t="inlineStr">
        <is>
          <t>тыс. м³</t>
        </is>
      </c>
      <c r="C9" s="8" t="inlineStr">
        <is>
          <t>Сумма последних счетчиков WWIT по скважинам на конец года</t>
        </is>
      </c>
      <c r="D9" s="9" t="n">
        <v>2133.534598146</v>
      </c>
      <c r="E9" s="9" t="n">
        <v>2882.841431639</v>
      </c>
      <c r="F9" s="9" t="n">
        <v>3669.359730468</v>
      </c>
      <c r="G9" s="9" t="n">
        <v>4480.983111105</v>
      </c>
      <c r="H9" s="9" t="n">
        <v>5336.608551083999</v>
      </c>
      <c r="I9" s="9" t="n">
        <v>6257.215530517</v>
      </c>
      <c r="J9" s="9" t="n">
        <v>7198.976174319</v>
      </c>
      <c r="K9" s="9" t="n">
        <v>8163.265908201</v>
      </c>
      <c r="L9" s="9" t="n">
        <v>9163.524717774</v>
      </c>
      <c r="M9" s="9" t="n">
        <v>10200.142291992</v>
      </c>
      <c r="N9" s="9" t="n">
        <v>11269.642861328</v>
      </c>
      <c r="O9" s="9" t="n">
        <v>12363.194556427</v>
      </c>
      <c r="P9" s="9" t="n">
        <v>13488.875125488</v>
      </c>
      <c r="Q9" s="9" t="n">
        <v>14638.966838866</v>
      </c>
      <c r="R9" s="9" t="n">
        <v>15802.654667969</v>
      </c>
      <c r="S9" s="9" t="n">
        <v>16990.213298828</v>
      </c>
      <c r="T9" s="9" t="n">
        <v>18191.105937502</v>
      </c>
      <c r="U9" s="9" t="n">
        <v>19412.110132813</v>
      </c>
      <c r="V9" s="9" t="n">
        <v>20231.217835938</v>
      </c>
    </row>
    <row r="10">
      <c r="A10" s="10" t="inlineStr">
        <is>
          <t>Добыча жидкости за год</t>
        </is>
      </c>
      <c r="B10" s="11" t="inlineStr">
        <is>
          <t>тыс. т</t>
        </is>
      </c>
      <c r="C10" s="12" t="inlineStr">
        <is>
          <t>Σ WLPT_Diff / 1 000</t>
        </is>
      </c>
      <c r="D10" s="13" t="n">
        <v>410.6697872845565</v>
      </c>
      <c r="E10" s="13" t="n">
        <v>499.1392887973628</v>
      </c>
      <c r="F10" s="13" t="n">
        <v>529.1498368536231</v>
      </c>
      <c r="G10" s="13" t="n">
        <v>544.2051321466025</v>
      </c>
      <c r="H10" s="13" t="n">
        <v>592.5267453706601</v>
      </c>
      <c r="I10" s="13" t="n">
        <v>656.3961028650167</v>
      </c>
      <c r="J10" s="13" t="n">
        <v>697.6011125764725</v>
      </c>
      <c r="K10" s="13" t="n">
        <v>734.9241750080523</v>
      </c>
      <c r="L10" s="13" t="n">
        <v>783.049074521905</v>
      </c>
      <c r="M10" s="13" t="n">
        <v>828.6916525996206</v>
      </c>
      <c r="N10" s="13" t="n">
        <v>861.880626324126</v>
      </c>
      <c r="O10" s="13" t="n">
        <v>898.518291737093</v>
      </c>
      <c r="P10" s="13" t="n">
        <v>939.4312063532744</v>
      </c>
      <c r="Q10" s="13" t="n">
        <v>967.150779218816</v>
      </c>
      <c r="R10" s="13" t="n">
        <v>987.8798894895285</v>
      </c>
      <c r="S10" s="13" t="n">
        <v>1012.347433213346</v>
      </c>
      <c r="T10" s="13" t="n">
        <v>1035.6662737735</v>
      </c>
      <c r="U10" s="13" t="n">
        <v>1060.883598415116</v>
      </c>
      <c r="V10" s="13" t="n">
        <v>718.4348231653751</v>
      </c>
    </row>
    <row r="11">
      <c r="A11" s="6" t="inlineStr">
        <is>
          <t>Добыча нефти за год</t>
        </is>
      </c>
      <c r="B11" s="7" t="inlineStr">
        <is>
          <t>тыс. т</t>
        </is>
      </c>
      <c r="C11" s="8" t="inlineStr">
        <is>
          <t>Σ WOMT_Diff / 1 000</t>
        </is>
      </c>
      <c r="D11" s="9" t="n">
        <v>364.8634926377685</v>
      </c>
      <c r="E11" s="9" t="n">
        <v>420.1055754623808</v>
      </c>
      <c r="F11" s="9" t="n">
        <v>400.7068368380613</v>
      </c>
      <c r="G11" s="9" t="n">
        <v>334.4334358242924</v>
      </c>
      <c r="H11" s="9" t="n">
        <v>290.7536948814102</v>
      </c>
      <c r="I11" s="9" t="n">
        <v>275.5797746001217</v>
      </c>
      <c r="J11" s="9" t="n">
        <v>254.6112079040404</v>
      </c>
      <c r="K11" s="9" t="n">
        <v>231.3811787253553</v>
      </c>
      <c r="L11" s="9" t="n">
        <v>212.001843240937</v>
      </c>
      <c r="M11" s="9" t="n">
        <v>198.3879719083139</v>
      </c>
      <c r="N11" s="9" t="n">
        <v>174.9608071666418</v>
      </c>
      <c r="O11" s="9" t="n">
        <v>160.3709480689429</v>
      </c>
      <c r="P11" s="9" t="n">
        <v>154.4927646199133</v>
      </c>
      <c r="Q11" s="9" t="n">
        <v>142.3361293470603</v>
      </c>
      <c r="R11" s="9" t="n">
        <v>130.7837182262444</v>
      </c>
      <c r="S11" s="9" t="n">
        <v>121.5417898838547</v>
      </c>
      <c r="T11" s="9" t="n">
        <v>114.1483419734488</v>
      </c>
      <c r="U11" s="9" t="n">
        <v>107.5428539224265</v>
      </c>
      <c r="V11" s="9" t="n">
        <v>68.45659210219235</v>
      </c>
    </row>
    <row r="12">
      <c r="A12" s="10" t="inlineStr">
        <is>
          <t>Закачка воды за год</t>
        </is>
      </c>
      <c r="B12" s="11" t="inlineStr">
        <is>
          <t>тыс. м³</t>
        </is>
      </c>
      <c r="C12" s="12" t="inlineStr">
        <is>
          <t>Σ WWIT_Diff / 1 000</t>
        </is>
      </c>
      <c r="D12" s="13" t="n">
        <v>649.0469243169999</v>
      </c>
      <c r="E12" s="13" t="n">
        <v>749.306833493</v>
      </c>
      <c r="F12" s="13" t="n">
        <v>786.5182988289999</v>
      </c>
      <c r="G12" s="13" t="n">
        <v>811.623380637</v>
      </c>
      <c r="H12" s="13" t="n">
        <v>855.625439979</v>
      </c>
      <c r="I12" s="13" t="n">
        <v>920.6069794330001</v>
      </c>
      <c r="J12" s="13" t="n">
        <v>941.760643802</v>
      </c>
      <c r="K12" s="13" t="n">
        <v>964.289733882</v>
      </c>
      <c r="L12" s="13" t="n">
        <v>1000.258809573</v>
      </c>
      <c r="M12" s="13" t="n">
        <v>1036.617574218</v>
      </c>
      <c r="N12" s="13" t="n">
        <v>1069.500569336</v>
      </c>
      <c r="O12" s="13" t="n">
        <v>1093.551695099</v>
      </c>
      <c r="P12" s="13" t="n">
        <v>1125.680569061</v>
      </c>
      <c r="Q12" s="13" t="n">
        <v>1150.091713378</v>
      </c>
      <c r="R12" s="13" t="n">
        <v>1163.687829103</v>
      </c>
      <c r="S12" s="13" t="n">
        <v>1187.558630859</v>
      </c>
      <c r="T12" s="13" t="n">
        <v>1200.892638674</v>
      </c>
      <c r="U12" s="13" t="n">
        <v>1221.004195311</v>
      </c>
      <c r="V12" s="13" t="n">
        <v>819.1077031249999</v>
      </c>
    </row>
    <row r="13">
      <c r="A13" s="6" t="inlineStr">
        <is>
          <t>Средний действующий фонд</t>
        </is>
      </c>
      <c r="B13" s="7" t="inlineStr">
        <is>
          <t>скв.</t>
        </is>
      </c>
      <c r="C13" s="8" t="inlineStr">
        <is>
          <t>Активна при WLPR &gt; 0 или WWIR &gt; 0</t>
        </is>
      </c>
      <c r="D13" s="9" t="n">
        <v>83</v>
      </c>
      <c r="E13" s="9" t="n">
        <v>85.58333333333333</v>
      </c>
      <c r="F13" s="9" t="n">
        <v>87</v>
      </c>
      <c r="G13" s="9" t="n">
        <v>87.25</v>
      </c>
      <c r="H13" s="9" t="n">
        <v>89.25</v>
      </c>
      <c r="I13" s="9" t="n">
        <v>92</v>
      </c>
      <c r="J13" s="9" t="n">
        <v>93.58333333333333</v>
      </c>
      <c r="K13" s="9" t="n">
        <v>94.16666666666667</v>
      </c>
      <c r="L13" s="9" t="n">
        <v>96.5</v>
      </c>
      <c r="M13" s="9" t="n">
        <v>98.91666666666667</v>
      </c>
      <c r="N13" s="9" t="n">
        <v>100</v>
      </c>
      <c r="O13" s="9" t="n">
        <v>100.5833333333333</v>
      </c>
      <c r="P13" s="9" t="n">
        <v>103</v>
      </c>
      <c r="Q13" s="9" t="n">
        <v>103</v>
      </c>
      <c r="R13" s="9" t="n">
        <v>103</v>
      </c>
      <c r="S13" s="9" t="n">
        <v>103</v>
      </c>
      <c r="T13" s="9" t="n">
        <v>103</v>
      </c>
      <c r="U13" s="9" t="n">
        <v>103</v>
      </c>
      <c r="V13" s="9" t="n">
        <v>103</v>
      </c>
    </row>
    <row r="14">
      <c r="A14" s="10" t="inlineStr">
        <is>
          <t>Активный фонд</t>
        </is>
      </c>
      <c r="B14" s="11" t="inlineStr">
        <is>
          <t>скв.-мес.</t>
        </is>
      </c>
      <c r="C14" s="12" t="inlineStr">
        <is>
          <t>Σ активных скважин по месяцам</t>
        </is>
      </c>
      <c r="D14" s="14" t="n">
        <v>996</v>
      </c>
      <c r="E14" s="14" t="n">
        <v>1027</v>
      </c>
      <c r="F14" s="14" t="n">
        <v>1044</v>
      </c>
      <c r="G14" s="14" t="n">
        <v>1047</v>
      </c>
      <c r="H14" s="14" t="n">
        <v>1071</v>
      </c>
      <c r="I14" s="14" t="n">
        <v>1104</v>
      </c>
      <c r="J14" s="14" t="n">
        <v>1123</v>
      </c>
      <c r="K14" s="14" t="n">
        <v>1130</v>
      </c>
      <c r="L14" s="14" t="n">
        <v>1158</v>
      </c>
      <c r="M14" s="14" t="n">
        <v>1187</v>
      </c>
      <c r="N14" s="14" t="n">
        <v>1200</v>
      </c>
      <c r="O14" s="14" t="n">
        <v>1207</v>
      </c>
      <c r="P14" s="14" t="n">
        <v>1236</v>
      </c>
      <c r="Q14" s="14" t="n">
        <v>1236</v>
      </c>
      <c r="R14" s="14" t="n">
        <v>1236</v>
      </c>
      <c r="S14" s="14" t="n">
        <v>1236</v>
      </c>
      <c r="T14" s="14" t="n">
        <v>1236</v>
      </c>
      <c r="U14" s="14" t="n">
        <v>1236</v>
      </c>
      <c r="V14" s="14" t="n">
        <v>824</v>
      </c>
    </row>
    <row r="15">
      <c r="A15" s="6" t="inlineStr">
        <is>
          <t>Средний дебит жидкости</t>
        </is>
      </c>
      <c r="B15" s="7" t="inlineStr">
        <is>
          <t>м³/сут</t>
        </is>
      </c>
      <c r="C15" s="8" t="inlineStr">
        <is>
          <t>Среднее по положительным WLPR</t>
        </is>
      </c>
      <c r="D15" s="9" t="n">
        <v>21.72518667168675</v>
      </c>
      <c r="E15" s="9" t="n">
        <v>25.46401299852724</v>
      </c>
      <c r="F15" s="9" t="n">
        <v>25.89462594109196</v>
      </c>
      <c r="G15" s="9" t="n">
        <v>25.81569164553314</v>
      </c>
      <c r="H15" s="9" t="n">
        <v>27.34528639017341</v>
      </c>
      <c r="I15" s="9" t="n">
        <v>30.745882001497</v>
      </c>
      <c r="J15" s="9" t="n">
        <v>32.35782376911544</v>
      </c>
      <c r="K15" s="9" t="n">
        <v>33.24968377596439</v>
      </c>
      <c r="L15" s="9" t="n">
        <v>33.67772591025641</v>
      </c>
      <c r="M15" s="9" t="n">
        <v>34.32583446601942</v>
      </c>
      <c r="N15" s="9" t="n">
        <v>34.91627085928962</v>
      </c>
      <c r="O15" s="9" t="n">
        <v>35.91629416824966</v>
      </c>
      <c r="P15" s="9" t="n">
        <v>36.47183367328043</v>
      </c>
      <c r="Q15" s="9" t="n">
        <v>37.27114783333334</v>
      </c>
      <c r="R15" s="9" t="n">
        <v>38.02030563227513</v>
      </c>
      <c r="S15" s="9" t="n">
        <v>39.45703117069893</v>
      </c>
      <c r="T15" s="9" t="n">
        <v>40.25777451612903</v>
      </c>
      <c r="U15" s="9" t="n">
        <v>41.02647271370968</v>
      </c>
      <c r="V15" s="9" t="n">
        <v>41.77372545766129</v>
      </c>
    </row>
    <row r="16">
      <c r="A16" s="10" t="inlineStr">
        <is>
          <t>Средний дебит нефти</t>
        </is>
      </c>
      <c r="B16" s="11" t="inlineStr">
        <is>
          <t>т/сут</t>
        </is>
      </c>
      <c r="C16" s="12" t="inlineStr">
        <is>
          <t>Среднее по положительным WOMR</t>
        </is>
      </c>
      <c r="D16" s="13" t="n">
        <v>18.0766183966176</v>
      </c>
      <c r="E16" s="13" t="n">
        <v>20.28981334970286</v>
      </c>
      <c r="F16" s="13" t="n">
        <v>18.93449064916099</v>
      </c>
      <c r="G16" s="13" t="n">
        <v>15.84948174928</v>
      </c>
      <c r="H16" s="13" t="n">
        <v>13.81726939046806</v>
      </c>
      <c r="I16" s="13" t="n">
        <v>13.52701907118703</v>
      </c>
      <c r="J16" s="13" t="n">
        <v>12.55204162019513</v>
      </c>
      <c r="K16" s="13" t="n">
        <v>11.26333368555634</v>
      </c>
      <c r="L16" s="13" t="n">
        <v>9.931422711899961</v>
      </c>
      <c r="M16" s="13" t="n">
        <v>9.025136631762917</v>
      </c>
      <c r="N16" s="13" t="n">
        <v>7.860178905455554</v>
      </c>
      <c r="O16" s="13" t="n">
        <v>7.154475661493382</v>
      </c>
      <c r="P16" s="13" t="n">
        <v>6.720003189025398</v>
      </c>
      <c r="Q16" s="13" t="n">
        <v>6.173536692090638</v>
      </c>
      <c r="R16" s="13" t="n">
        <v>5.688493565272909</v>
      </c>
      <c r="S16" s="13" t="n">
        <v>5.371561006486002</v>
      </c>
      <c r="T16" s="13" t="n">
        <v>5.044814923534238</v>
      </c>
      <c r="U16" s="13" t="n">
        <v>4.73958558990235</v>
      </c>
      <c r="V16" s="13" t="n">
        <v>4.543817067108507</v>
      </c>
    </row>
    <row r="17">
      <c r="A17" s="6" t="inlineStr">
        <is>
          <t>Средняя приемистость</t>
        </is>
      </c>
      <c r="B17" s="7" t="inlineStr">
        <is>
          <t>м³/сут</t>
        </is>
      </c>
      <c r="C17" s="8" t="inlineStr">
        <is>
          <t>Среднее по положительным WWIR</t>
        </is>
      </c>
      <c r="D17" s="9" t="n">
        <v>64.2786640120482</v>
      </c>
      <c r="E17" s="9" t="n">
        <v>70.60189779310345</v>
      </c>
      <c r="F17" s="9" t="n">
        <v>74.30415711494253</v>
      </c>
      <c r="G17" s="9" t="n">
        <v>75.58674261756374</v>
      </c>
      <c r="H17" s="9" t="n">
        <v>74.21412234036939</v>
      </c>
      <c r="I17" s="9" t="n">
        <v>69.22711755504587</v>
      </c>
      <c r="J17" s="9" t="n">
        <v>67.89630500438595</v>
      </c>
      <c r="K17" s="9" t="n">
        <v>69.53212152631578</v>
      </c>
      <c r="L17" s="9" t="n">
        <v>72.11189715789473</v>
      </c>
      <c r="M17" s="9" t="n">
        <v>72.93125120171675</v>
      </c>
      <c r="N17" s="9" t="n">
        <v>75.12397761965813</v>
      </c>
      <c r="O17" s="9" t="n">
        <v>76.49079737021277</v>
      </c>
      <c r="P17" s="9" t="n">
        <v>77.09727581041668</v>
      </c>
      <c r="Q17" s="9" t="n">
        <v>78.55680362291668</v>
      </c>
      <c r="R17" s="9" t="n">
        <v>79.70212404791667</v>
      </c>
      <c r="S17" s="9" t="n">
        <v>79.35413085365855</v>
      </c>
      <c r="T17" s="9" t="n">
        <v>80.2444778191057</v>
      </c>
      <c r="U17" s="9" t="n">
        <v>81.36677822560975</v>
      </c>
      <c r="V17" s="9" t="n">
        <v>82.21135821951219</v>
      </c>
    </row>
    <row r="18" ht="22" customHeight="1">
      <c r="A18" s="15" t="inlineStr">
        <is>
          <t>Действия с фондом и платные события</t>
        </is>
      </c>
    </row>
    <row r="19">
      <c r="A19" s="6" t="inlineStr">
        <is>
          <t>Установлено новых ЭЦН — всего</t>
        </is>
      </c>
      <c r="B19" s="7" t="inlineStr">
        <is>
          <t>шт.</t>
        </is>
      </c>
      <c r="C19" s="8" t="inlineStr">
        <is>
          <t>Платные замены ЭЦН; начальный насос не начисляется по умолчанию</t>
        </is>
      </c>
      <c r="D19" s="16" t="n">
        <v>25</v>
      </c>
      <c r="E19" s="16" t="n">
        <v>13</v>
      </c>
      <c r="F19" s="16" t="n">
        <v>2</v>
      </c>
      <c r="G19" s="16" t="n">
        <v>3</v>
      </c>
      <c r="H19" s="16" t="n">
        <v>6</v>
      </c>
      <c r="I19" s="16" t="n">
        <v>7</v>
      </c>
      <c r="J19" s="16" t="n">
        <v>7</v>
      </c>
      <c r="K19" s="16" t="n">
        <v>5</v>
      </c>
      <c r="L19" s="16" t="n">
        <v>1</v>
      </c>
      <c r="M19" s="16" t="n">
        <v>1</v>
      </c>
      <c r="N19" s="16" t="n">
        <v>2</v>
      </c>
      <c r="O19" s="16" t="n">
        <v>0</v>
      </c>
      <c r="P19" s="16" t="n">
        <v>0</v>
      </c>
      <c r="Q19" s="16" t="n">
        <v>2</v>
      </c>
      <c r="R19" s="16" t="n">
        <v>1</v>
      </c>
      <c r="S19" s="16" t="n">
        <v>6</v>
      </c>
      <c r="T19" s="16" t="n">
        <v>0</v>
      </c>
      <c r="U19" s="16" t="n">
        <v>5</v>
      </c>
      <c r="V19" s="16" t="n">
        <v>2</v>
      </c>
    </row>
    <row r="20">
      <c r="A20" s="10" t="inlineStr">
        <is>
          <t>Смен ЭЦН на больший типоразмер</t>
        </is>
      </c>
      <c r="B20" s="11" t="inlineStr">
        <is>
          <t>шт.</t>
        </is>
      </c>
      <c r="C20" s="12" t="inlineStr">
        <is>
          <t>При выходе дебита выше максимума текущего ЭЦН</t>
        </is>
      </c>
      <c r="D20" s="14" t="n">
        <v>25</v>
      </c>
      <c r="E20" s="14" t="n">
        <v>13</v>
      </c>
      <c r="F20" s="14" t="n">
        <v>2</v>
      </c>
      <c r="G20" s="14" t="n">
        <v>3</v>
      </c>
      <c r="H20" s="14" t="n">
        <v>6</v>
      </c>
      <c r="I20" s="14" t="n">
        <v>7</v>
      </c>
      <c r="J20" s="14" t="n">
        <v>7</v>
      </c>
      <c r="K20" s="14" t="n">
        <v>5</v>
      </c>
      <c r="L20" s="14" t="n">
        <v>1</v>
      </c>
      <c r="M20" s="14" t="n">
        <v>1</v>
      </c>
      <c r="N20" s="14" t="n">
        <v>2</v>
      </c>
      <c r="O20" s="14" t="n">
        <v>0</v>
      </c>
      <c r="P20" s="14" t="n">
        <v>0</v>
      </c>
      <c r="Q20" s="14" t="n">
        <v>2</v>
      </c>
      <c r="R20" s="14" t="n">
        <v>1</v>
      </c>
      <c r="S20" s="14" t="n">
        <v>6</v>
      </c>
      <c r="T20" s="14" t="n">
        <v>0</v>
      </c>
      <c r="U20" s="14" t="n">
        <v>5</v>
      </c>
      <c r="V20" s="14" t="n">
        <v>2</v>
      </c>
    </row>
    <row r="21">
      <c r="A21" s="6" t="inlineStr">
        <is>
          <t>Смен ЭЦН на меньший типоразмер</t>
        </is>
      </c>
      <c r="B21" s="7" t="inlineStr">
        <is>
          <t>шт.</t>
        </is>
      </c>
      <c r="C21" s="8" t="inlineStr">
        <is>
          <t>Только если min текущего ЭЦН − WLPR &gt; 100</t>
        </is>
      </c>
      <c r="D21" s="16" t="n">
        <v>0</v>
      </c>
      <c r="E21" s="16" t="n">
        <v>0</v>
      </c>
      <c r="F21" s="16" t="n">
        <v>0</v>
      </c>
      <c r="G21" s="16" t="n">
        <v>0</v>
      </c>
      <c r="H21" s="16" t="n">
        <v>0</v>
      </c>
      <c r="I21" s="16" t="n">
        <v>0</v>
      </c>
      <c r="J21" s="16" t="n">
        <v>0</v>
      </c>
      <c r="K21" s="16" t="n">
        <v>0</v>
      </c>
      <c r="L21" s="16" t="n">
        <v>0</v>
      </c>
      <c r="M21" s="16" t="n">
        <v>0</v>
      </c>
      <c r="N21" s="16" t="n">
        <v>0</v>
      </c>
      <c r="O21" s="16" t="n">
        <v>0</v>
      </c>
      <c r="P21" s="16" t="n">
        <v>0</v>
      </c>
      <c r="Q21" s="16" t="n">
        <v>0</v>
      </c>
      <c r="R21" s="16" t="n">
        <v>0</v>
      </c>
      <c r="S21" s="16" t="n">
        <v>0</v>
      </c>
      <c r="T21" s="16" t="n">
        <v>0</v>
      </c>
      <c r="U21" s="16" t="n">
        <v>0</v>
      </c>
      <c r="V21" s="16" t="n">
        <v>0</v>
      </c>
    </row>
    <row r="22">
      <c r="A22" s="10" t="inlineStr">
        <is>
          <t>Остановки скважин</t>
        </is>
      </c>
      <c r="B22" s="11" t="inlineStr">
        <is>
          <t>шт.</t>
        </is>
      </c>
      <c r="C22" s="12" t="inlineStr">
        <is>
          <t>Каждый переход активна → неактивна</t>
        </is>
      </c>
      <c r="D22" s="14" t="n">
        <v>0</v>
      </c>
      <c r="E22" s="14" t="n">
        <v>0</v>
      </c>
      <c r="F22" s="14" t="n">
        <v>0</v>
      </c>
      <c r="G22" s="14" t="n">
        <v>0</v>
      </c>
      <c r="H22" s="14" t="n">
        <v>0</v>
      </c>
      <c r="I22" s="14" t="n">
        <v>0</v>
      </c>
      <c r="J22" s="14" t="n">
        <v>0</v>
      </c>
      <c r="K22" s="14" t="n">
        <v>0</v>
      </c>
      <c r="L22" s="14" t="n">
        <v>0</v>
      </c>
      <c r="M22" s="14" t="n">
        <v>0</v>
      </c>
      <c r="N22" s="14" t="n">
        <v>0</v>
      </c>
      <c r="O22" s="14" t="n">
        <v>0</v>
      </c>
      <c r="P22" s="14" t="n">
        <v>0</v>
      </c>
      <c r="Q22" s="14" t="n">
        <v>0</v>
      </c>
      <c r="R22" s="14" t="n">
        <v>0</v>
      </c>
      <c r="S22" s="14" t="n">
        <v>0</v>
      </c>
      <c r="T22" s="14" t="n">
        <v>0</v>
      </c>
      <c r="U22" s="14" t="n">
        <v>0</v>
      </c>
      <c r="V22" s="14" t="n">
        <v>0</v>
      </c>
    </row>
    <row r="23">
      <c r="A23" s="6" t="inlineStr">
        <is>
          <t>Запуски скважин</t>
        </is>
      </c>
      <c r="B23" s="7" t="inlineStr">
        <is>
          <t>шт.</t>
        </is>
      </c>
      <c r="C23" s="8" t="inlineStr">
        <is>
          <t>Каждый переход неактивна → активна</t>
        </is>
      </c>
      <c r="D23" s="16" t="n">
        <v>3</v>
      </c>
      <c r="E23" s="16" t="n">
        <v>4</v>
      </c>
      <c r="F23" s="16" t="n">
        <v>0</v>
      </c>
      <c r="G23" s="16" t="n">
        <v>2</v>
      </c>
      <c r="H23" s="16" t="n">
        <v>2</v>
      </c>
      <c r="I23" s="16" t="n">
        <v>1</v>
      </c>
      <c r="J23" s="16" t="n">
        <v>2</v>
      </c>
      <c r="K23" s="16" t="n">
        <v>2</v>
      </c>
      <c r="L23" s="16" t="n">
        <v>1</v>
      </c>
      <c r="M23" s="16" t="n">
        <v>3</v>
      </c>
      <c r="N23" s="16" t="n">
        <v>0</v>
      </c>
      <c r="O23" s="16" t="n">
        <v>3</v>
      </c>
      <c r="P23" s="16" t="n">
        <v>0</v>
      </c>
      <c r="Q23" s="16" t="n">
        <v>0</v>
      </c>
      <c r="R23" s="16" t="n">
        <v>0</v>
      </c>
      <c r="S23" s="16" t="n">
        <v>0</v>
      </c>
      <c r="T23" s="16" t="n">
        <v>0</v>
      </c>
      <c r="U23" s="16" t="n">
        <v>0</v>
      </c>
      <c r="V23" s="16" t="n">
        <v>0</v>
      </c>
    </row>
    <row r="24">
      <c r="A24" s="10" t="inlineStr">
        <is>
          <t>Остановки и запуски — всего</t>
        </is>
      </c>
      <c r="B24" s="11" t="inlineStr">
        <is>
          <t>шт.</t>
        </is>
      </c>
      <c r="C24" s="12" t="inlineStr">
        <is>
          <t>Остановка и последующий запуск считаются двумя событиями</t>
        </is>
      </c>
      <c r="D24" s="14" t="n">
        <v>3</v>
      </c>
      <c r="E24" s="14" t="n">
        <v>4</v>
      </c>
      <c r="F24" s="14" t="n">
        <v>0</v>
      </c>
      <c r="G24" s="14" t="n">
        <v>2</v>
      </c>
      <c r="H24" s="14" t="n">
        <v>2</v>
      </c>
      <c r="I24" s="14" t="n">
        <v>1</v>
      </c>
      <c r="J24" s="14" t="n">
        <v>2</v>
      </c>
      <c r="K24" s="14" t="n">
        <v>2</v>
      </c>
      <c r="L24" s="14" t="n">
        <v>1</v>
      </c>
      <c r="M24" s="14" t="n">
        <v>3</v>
      </c>
      <c r="N24" s="14" t="n">
        <v>0</v>
      </c>
      <c r="O24" s="14" t="n">
        <v>3</v>
      </c>
      <c r="P24" s="14" t="n">
        <v>0</v>
      </c>
      <c r="Q24" s="14" t="n">
        <v>0</v>
      </c>
      <c r="R24" s="14" t="n">
        <v>0</v>
      </c>
      <c r="S24" s="14" t="n">
        <v>0</v>
      </c>
      <c r="T24" s="14" t="n">
        <v>0</v>
      </c>
      <c r="U24" s="14" t="n">
        <v>0</v>
      </c>
      <c r="V24" s="14" t="n">
        <v>0</v>
      </c>
    </row>
    <row r="25">
      <c r="A25" s="6" t="inlineStr">
        <is>
          <t>Переводы под закачку</t>
        </is>
      </c>
      <c r="B25" s="7" t="inlineStr">
        <is>
          <t>шт.</t>
        </is>
      </c>
      <c r="C25" s="8" t="inlineStr">
        <is>
          <t>Прямой переход добывающая → нагнетательная</t>
        </is>
      </c>
      <c r="D25" s="16" t="n">
        <v>2</v>
      </c>
      <c r="E25" s="16" t="n">
        <v>1</v>
      </c>
      <c r="F25" s="16" t="n">
        <v>0</v>
      </c>
      <c r="G25" s="16" t="n">
        <v>1</v>
      </c>
      <c r="H25" s="16" t="n">
        <v>1</v>
      </c>
      <c r="I25" s="16" t="n">
        <v>2</v>
      </c>
      <c r="J25" s="16" t="n">
        <v>1</v>
      </c>
      <c r="K25" s="16" t="n">
        <v>0</v>
      </c>
      <c r="L25" s="16" t="n">
        <v>0</v>
      </c>
      <c r="M25" s="16" t="n">
        <v>0</v>
      </c>
      <c r="N25" s="16" t="n">
        <v>0</v>
      </c>
      <c r="O25" s="16" t="n">
        <v>0</v>
      </c>
      <c r="P25" s="16" t="n">
        <v>0</v>
      </c>
      <c r="Q25" s="16" t="n">
        <v>0</v>
      </c>
      <c r="R25" s="16" t="n">
        <v>0</v>
      </c>
      <c r="S25" s="16" t="n">
        <v>1</v>
      </c>
      <c r="T25" s="16" t="n">
        <v>0</v>
      </c>
      <c r="U25" s="16" t="n">
        <v>0</v>
      </c>
      <c r="V25" s="16" t="n">
        <v>0</v>
      </c>
    </row>
    <row r="26">
      <c r="A26" s="10" t="inlineStr">
        <is>
          <t>Стоимость операций по смене ЭЦН</t>
        </is>
      </c>
      <c r="B26" s="11" t="inlineStr">
        <is>
          <t>млн руб.</t>
        </is>
      </c>
      <c r="C26" s="12" t="inlineStr">
        <is>
          <t>1,8 млн руб. за каждую замену</t>
        </is>
      </c>
      <c r="D26" s="13" t="n">
        <v>45.00000000000001</v>
      </c>
      <c r="E26" s="13" t="n">
        <v>23.4</v>
      </c>
      <c r="F26" s="13" t="n">
        <v>3.6</v>
      </c>
      <c r="G26" s="13" t="n">
        <v>5.4</v>
      </c>
      <c r="H26" s="13" t="n">
        <v>10.8</v>
      </c>
      <c r="I26" s="13" t="n">
        <v>12.6</v>
      </c>
      <c r="J26" s="13" t="n">
        <v>12.6</v>
      </c>
      <c r="K26" s="13" t="n">
        <v>9</v>
      </c>
      <c r="L26" s="13" t="n">
        <v>1.8</v>
      </c>
      <c r="M26" s="13" t="n">
        <v>1.8</v>
      </c>
      <c r="N26" s="13" t="n">
        <v>3.6</v>
      </c>
      <c r="O26" s="13" t="n">
        <v>0</v>
      </c>
      <c r="P26" s="13" t="n">
        <v>0</v>
      </c>
      <c r="Q26" s="13" t="n">
        <v>3.6</v>
      </c>
      <c r="R26" s="13" t="n">
        <v>1.8</v>
      </c>
      <c r="S26" s="13" t="n">
        <v>10.8</v>
      </c>
      <c r="T26" s="13" t="n">
        <v>0</v>
      </c>
      <c r="U26" s="13" t="n">
        <v>9</v>
      </c>
      <c r="V26" s="13" t="n">
        <v>3.6</v>
      </c>
    </row>
    <row r="27">
      <c r="A27" s="6" t="inlineStr">
        <is>
          <t>Стоимость остановок и запусков</t>
        </is>
      </c>
      <c r="B27" s="7" t="inlineStr">
        <is>
          <t>млн руб.</t>
        </is>
      </c>
      <c r="C27" s="8" t="inlineStr">
        <is>
          <t>1,0 млн руб. за каждое событие</t>
        </is>
      </c>
      <c r="D27" s="9" t="n">
        <v>3</v>
      </c>
      <c r="E27" s="9" t="n">
        <v>4</v>
      </c>
      <c r="F27" s="9" t="n">
        <v>0</v>
      </c>
      <c r="G27" s="9" t="n">
        <v>2</v>
      </c>
      <c r="H27" s="9" t="n">
        <v>2</v>
      </c>
      <c r="I27" s="9" t="n">
        <v>1</v>
      </c>
      <c r="J27" s="9" t="n">
        <v>2</v>
      </c>
      <c r="K27" s="9" t="n">
        <v>2</v>
      </c>
      <c r="L27" s="9" t="n">
        <v>1</v>
      </c>
      <c r="M27" s="9" t="n">
        <v>3</v>
      </c>
      <c r="N27" s="9" t="n">
        <v>0</v>
      </c>
      <c r="O27" s="9" t="n">
        <v>3</v>
      </c>
      <c r="P27" s="9" t="n">
        <v>0</v>
      </c>
      <c r="Q27" s="9" t="n">
        <v>0</v>
      </c>
      <c r="R27" s="9" t="n">
        <v>0</v>
      </c>
      <c r="S27" s="9" t="n">
        <v>0</v>
      </c>
      <c r="T27" s="9" t="n">
        <v>0</v>
      </c>
      <c r="U27" s="9" t="n">
        <v>0</v>
      </c>
      <c r="V27" s="9" t="n">
        <v>0</v>
      </c>
    </row>
    <row r="28">
      <c r="A28" s="10" t="inlineStr">
        <is>
          <t>Стоимость переводов под закачку</t>
        </is>
      </c>
      <c r="B28" s="11" t="inlineStr">
        <is>
          <t>млн руб.</t>
        </is>
      </c>
      <c r="C28" s="12" t="inlineStr">
        <is>
          <t>5,0 млн руб. за перевод; без старого ЭЦН и отдельной остановки</t>
        </is>
      </c>
      <c r="D28" s="13" t="n">
        <v>10</v>
      </c>
      <c r="E28" s="13" t="n">
        <v>5</v>
      </c>
      <c r="F28" s="13" t="n">
        <v>0</v>
      </c>
      <c r="G28" s="13" t="n">
        <v>5</v>
      </c>
      <c r="H28" s="13" t="n">
        <v>5</v>
      </c>
      <c r="I28" s="13" t="n">
        <v>10</v>
      </c>
      <c r="J28" s="13" t="n">
        <v>5</v>
      </c>
      <c r="K28" s="13" t="n">
        <v>0</v>
      </c>
      <c r="L28" s="13" t="n">
        <v>0</v>
      </c>
      <c r="M28" s="13" t="n">
        <v>0</v>
      </c>
      <c r="N28" s="13" t="n">
        <v>0</v>
      </c>
      <c r="O28" s="13" t="n">
        <v>0</v>
      </c>
      <c r="P28" s="13" t="n">
        <v>0</v>
      </c>
      <c r="Q28" s="13" t="n">
        <v>0</v>
      </c>
      <c r="R28" s="13" t="n">
        <v>0</v>
      </c>
      <c r="S28" s="13" t="n">
        <v>5</v>
      </c>
      <c r="T28" s="13" t="n">
        <v>0</v>
      </c>
      <c r="U28" s="13" t="n">
        <v>0</v>
      </c>
      <c r="V28" s="13" t="n">
        <v>0</v>
      </c>
    </row>
    <row r="29">
      <c r="A29" s="6" t="inlineStr">
        <is>
          <t>ЭЦН 15 м³/сут — установлено новых</t>
        </is>
      </c>
      <c r="B29" s="7" t="inlineStr">
        <is>
          <t>шт.</t>
        </is>
      </c>
      <c r="C29" s="8" t="inlineStr">
        <is>
          <t>Количество оплаченных новых насосов данного типоразмера</t>
        </is>
      </c>
      <c r="D29" s="16" t="n">
        <v>0</v>
      </c>
      <c r="E29" s="16" t="n">
        <v>0</v>
      </c>
      <c r="F29" s="16" t="n">
        <v>0</v>
      </c>
      <c r="G29" s="16" t="n">
        <v>0</v>
      </c>
      <c r="H29" s="16" t="n">
        <v>0</v>
      </c>
      <c r="I29" s="16" t="n">
        <v>0</v>
      </c>
      <c r="J29" s="16" t="n">
        <v>0</v>
      </c>
      <c r="K29" s="16" t="n">
        <v>0</v>
      </c>
      <c r="L29" s="16" t="n">
        <v>0</v>
      </c>
      <c r="M29" s="16" t="n">
        <v>0</v>
      </c>
      <c r="N29" s="16" t="n">
        <v>0</v>
      </c>
      <c r="O29" s="16" t="n">
        <v>0</v>
      </c>
      <c r="P29" s="16" t="n">
        <v>0</v>
      </c>
      <c r="Q29" s="16" t="n">
        <v>0</v>
      </c>
      <c r="R29" s="16" t="n">
        <v>0</v>
      </c>
      <c r="S29" s="16" t="n">
        <v>0</v>
      </c>
      <c r="T29" s="16" t="n">
        <v>0</v>
      </c>
      <c r="U29" s="16" t="n">
        <v>0</v>
      </c>
      <c r="V29" s="16" t="n">
        <v>0</v>
      </c>
    </row>
    <row r="30">
      <c r="A30" s="10" t="inlineStr">
        <is>
          <t>ЭЦН 20 м³/сут — установлено новых</t>
        </is>
      </c>
      <c r="B30" s="11" t="inlineStr">
        <is>
          <t>шт.</t>
        </is>
      </c>
      <c r="C30" s="12" t="inlineStr">
        <is>
          <t>Количество оплаченных новых насосов данного типоразмера</t>
        </is>
      </c>
      <c r="D30" s="14" t="n">
        <v>13</v>
      </c>
      <c r="E30" s="14" t="n">
        <v>8</v>
      </c>
      <c r="F30" s="14" t="n">
        <v>1</v>
      </c>
      <c r="G30" s="14" t="n">
        <v>1</v>
      </c>
      <c r="H30" s="14" t="n">
        <v>1</v>
      </c>
      <c r="I30" s="14" t="n">
        <v>4</v>
      </c>
      <c r="J30" s="14" t="n">
        <v>2</v>
      </c>
      <c r="K30" s="14" t="n">
        <v>0</v>
      </c>
      <c r="L30" s="14" t="n">
        <v>0</v>
      </c>
      <c r="M30" s="14" t="n">
        <v>1</v>
      </c>
      <c r="N30" s="14" t="n">
        <v>1</v>
      </c>
      <c r="O30" s="14" t="n">
        <v>0</v>
      </c>
      <c r="P30" s="14" t="n">
        <v>0</v>
      </c>
      <c r="Q30" s="14" t="n">
        <v>0</v>
      </c>
      <c r="R30" s="14" t="n">
        <v>0</v>
      </c>
      <c r="S30" s="14" t="n">
        <v>1</v>
      </c>
      <c r="T30" s="14" t="n">
        <v>0</v>
      </c>
      <c r="U30" s="14" t="n">
        <v>0</v>
      </c>
      <c r="V30" s="14" t="n">
        <v>0</v>
      </c>
    </row>
    <row r="31">
      <c r="A31" s="6" t="inlineStr">
        <is>
          <t>ЭЦН 30 м³/сут — установлено новых</t>
        </is>
      </c>
      <c r="B31" s="7" t="inlineStr">
        <is>
          <t>шт.</t>
        </is>
      </c>
      <c r="C31" s="8" t="inlineStr">
        <is>
          <t>Количество оплаченных новых насосов данного типоразмера</t>
        </is>
      </c>
      <c r="D31" s="16" t="n">
        <v>10</v>
      </c>
      <c r="E31" s="16" t="n">
        <v>4</v>
      </c>
      <c r="F31" s="16" t="n">
        <v>1</v>
      </c>
      <c r="G31" s="16" t="n">
        <v>2</v>
      </c>
      <c r="H31" s="16" t="n">
        <v>5</v>
      </c>
      <c r="I31" s="16" t="n">
        <v>1</v>
      </c>
      <c r="J31" s="16" t="n">
        <v>4</v>
      </c>
      <c r="K31" s="16" t="n">
        <v>2</v>
      </c>
      <c r="L31" s="16" t="n">
        <v>1</v>
      </c>
      <c r="M31" s="16" t="n">
        <v>0</v>
      </c>
      <c r="N31" s="16" t="n">
        <v>0</v>
      </c>
      <c r="O31" s="16" t="n">
        <v>0</v>
      </c>
      <c r="P31" s="16" t="n">
        <v>0</v>
      </c>
      <c r="Q31" s="16" t="n">
        <v>1</v>
      </c>
      <c r="R31" s="16" t="n">
        <v>0</v>
      </c>
      <c r="S31" s="16" t="n">
        <v>1</v>
      </c>
      <c r="T31" s="16" t="n">
        <v>0</v>
      </c>
      <c r="U31" s="16" t="n">
        <v>2</v>
      </c>
      <c r="V31" s="16" t="n">
        <v>0</v>
      </c>
    </row>
    <row r="32">
      <c r="A32" s="10" t="inlineStr">
        <is>
          <t>ЭЦН 50 м³/сут — установлено новых</t>
        </is>
      </c>
      <c r="B32" s="11" t="inlineStr">
        <is>
          <t>шт.</t>
        </is>
      </c>
      <c r="C32" s="12" t="inlineStr">
        <is>
          <t>Количество оплаченных новых насосов данного типоразмера</t>
        </is>
      </c>
      <c r="D32" s="14" t="n">
        <v>2</v>
      </c>
      <c r="E32" s="14" t="n">
        <v>1</v>
      </c>
      <c r="F32" s="14" t="n">
        <v>0</v>
      </c>
      <c r="G32" s="14" t="n">
        <v>0</v>
      </c>
      <c r="H32" s="14" t="n">
        <v>0</v>
      </c>
      <c r="I32" s="14" t="n">
        <v>2</v>
      </c>
      <c r="J32" s="14" t="n">
        <v>1</v>
      </c>
      <c r="K32" s="14" t="n">
        <v>3</v>
      </c>
      <c r="L32" s="14" t="n">
        <v>0</v>
      </c>
      <c r="M32" s="14" t="n">
        <v>0</v>
      </c>
      <c r="N32" s="14" t="n">
        <v>1</v>
      </c>
      <c r="O32" s="14" t="n">
        <v>0</v>
      </c>
      <c r="P32" s="14" t="n">
        <v>0</v>
      </c>
      <c r="Q32" s="14" t="n">
        <v>1</v>
      </c>
      <c r="R32" s="14" t="n">
        <v>1</v>
      </c>
      <c r="S32" s="14" t="n">
        <v>2</v>
      </c>
      <c r="T32" s="14" t="n">
        <v>0</v>
      </c>
      <c r="U32" s="14" t="n">
        <v>3</v>
      </c>
      <c r="V32" s="14" t="n">
        <v>2</v>
      </c>
    </row>
    <row r="33">
      <c r="A33" s="6" t="inlineStr">
        <is>
          <t>ЭЦН 80 м³/сут — установлено новых</t>
        </is>
      </c>
      <c r="B33" s="7" t="inlineStr">
        <is>
          <t>шт.</t>
        </is>
      </c>
      <c r="C33" s="8" t="inlineStr">
        <is>
          <t>Количество оплаченных новых насосов данного типоразмера</t>
        </is>
      </c>
      <c r="D33" s="16" t="n">
        <v>0</v>
      </c>
      <c r="E33" s="16" t="n">
        <v>0</v>
      </c>
      <c r="F33" s="16" t="n">
        <v>0</v>
      </c>
      <c r="G33" s="16" t="n">
        <v>0</v>
      </c>
      <c r="H33" s="16" t="n">
        <v>0</v>
      </c>
      <c r="I33" s="16" t="n">
        <v>0</v>
      </c>
      <c r="J33" s="16" t="n">
        <v>0</v>
      </c>
      <c r="K33" s="16" t="n">
        <v>0</v>
      </c>
      <c r="L33" s="16" t="n">
        <v>0</v>
      </c>
      <c r="M33" s="16" t="n">
        <v>0</v>
      </c>
      <c r="N33" s="16" t="n">
        <v>0</v>
      </c>
      <c r="O33" s="16" t="n">
        <v>0</v>
      </c>
      <c r="P33" s="16" t="n">
        <v>0</v>
      </c>
      <c r="Q33" s="16" t="n">
        <v>0</v>
      </c>
      <c r="R33" s="16" t="n">
        <v>0</v>
      </c>
      <c r="S33" s="16" t="n">
        <v>2</v>
      </c>
      <c r="T33" s="16" t="n">
        <v>0</v>
      </c>
      <c r="U33" s="16" t="n">
        <v>0</v>
      </c>
      <c r="V33" s="16" t="n">
        <v>0</v>
      </c>
    </row>
    <row r="34">
      <c r="A34" s="10" t="inlineStr">
        <is>
          <t>ЭЦН 100 м³/сут — установлено новых</t>
        </is>
      </c>
      <c r="B34" s="11" t="inlineStr">
        <is>
          <t>шт.</t>
        </is>
      </c>
      <c r="C34" s="12" t="inlineStr">
        <is>
          <t>Количество оплаченных новых насосов данного типоразмера</t>
        </is>
      </c>
      <c r="D34" s="14" t="n">
        <v>0</v>
      </c>
      <c r="E34" s="14" t="n">
        <v>0</v>
      </c>
      <c r="F34" s="14" t="n">
        <v>0</v>
      </c>
      <c r="G34" s="14" t="n">
        <v>0</v>
      </c>
      <c r="H34" s="14" t="n">
        <v>0</v>
      </c>
      <c r="I34" s="14" t="n">
        <v>0</v>
      </c>
      <c r="J34" s="14" t="n">
        <v>0</v>
      </c>
      <c r="K34" s="14" t="n">
        <v>0</v>
      </c>
      <c r="L34" s="14" t="n">
        <v>0</v>
      </c>
      <c r="M34" s="14" t="n">
        <v>0</v>
      </c>
      <c r="N34" s="14" t="n">
        <v>0</v>
      </c>
      <c r="O34" s="14" t="n">
        <v>0</v>
      </c>
      <c r="P34" s="14" t="n">
        <v>0</v>
      </c>
      <c r="Q34" s="14" t="n">
        <v>0</v>
      </c>
      <c r="R34" s="14" t="n">
        <v>0</v>
      </c>
      <c r="S34" s="14" t="n">
        <v>0</v>
      </c>
      <c r="T34" s="14" t="n">
        <v>0</v>
      </c>
      <c r="U34" s="14" t="n">
        <v>0</v>
      </c>
      <c r="V34" s="14" t="n">
        <v>0</v>
      </c>
    </row>
    <row r="35">
      <c r="A35" s="6" t="inlineStr">
        <is>
          <t>ЭЦН 125 м³/сут — установлено новых</t>
        </is>
      </c>
      <c r="B35" s="7" t="inlineStr">
        <is>
          <t>шт.</t>
        </is>
      </c>
      <c r="C35" s="8" t="inlineStr">
        <is>
          <t>Количество оплаченных новых насосов данного типоразмера</t>
        </is>
      </c>
      <c r="D35" s="16" t="n">
        <v>0</v>
      </c>
      <c r="E35" s="16" t="n">
        <v>0</v>
      </c>
      <c r="F35" s="16" t="n">
        <v>0</v>
      </c>
      <c r="G35" s="16" t="n">
        <v>0</v>
      </c>
      <c r="H35" s="16" t="n">
        <v>0</v>
      </c>
      <c r="I35" s="16" t="n">
        <v>0</v>
      </c>
      <c r="J35" s="16" t="n">
        <v>0</v>
      </c>
      <c r="K35" s="16" t="n">
        <v>0</v>
      </c>
      <c r="L35" s="16" t="n">
        <v>0</v>
      </c>
      <c r="M35" s="16" t="n">
        <v>0</v>
      </c>
      <c r="N35" s="16" t="n">
        <v>0</v>
      </c>
      <c r="O35" s="16" t="n">
        <v>0</v>
      </c>
      <c r="P35" s="16" t="n">
        <v>0</v>
      </c>
      <c r="Q35" s="16" t="n">
        <v>0</v>
      </c>
      <c r="R35" s="16" t="n">
        <v>0</v>
      </c>
      <c r="S35" s="16" t="n">
        <v>0</v>
      </c>
      <c r="T35" s="16" t="n">
        <v>0</v>
      </c>
      <c r="U35" s="16" t="n">
        <v>0</v>
      </c>
      <c r="V35" s="16" t="n">
        <v>0</v>
      </c>
    </row>
    <row r="36">
      <c r="A36" s="10" t="inlineStr">
        <is>
          <t>ЭЦН 160 м³/сут — установлено новых</t>
        </is>
      </c>
      <c r="B36" s="11" t="inlineStr">
        <is>
          <t>шт.</t>
        </is>
      </c>
      <c r="C36" s="12" t="inlineStr">
        <is>
          <t>Количество оплаченных новых насосов данного типоразмера</t>
        </is>
      </c>
      <c r="D36" s="14" t="n">
        <v>0</v>
      </c>
      <c r="E36" s="14" t="n">
        <v>0</v>
      </c>
      <c r="F36" s="14" t="n">
        <v>0</v>
      </c>
      <c r="G36" s="14" t="n">
        <v>0</v>
      </c>
      <c r="H36" s="14" t="n">
        <v>0</v>
      </c>
      <c r="I36" s="14" t="n">
        <v>0</v>
      </c>
      <c r="J36" s="14" t="n">
        <v>0</v>
      </c>
      <c r="K36" s="14" t="n">
        <v>0</v>
      </c>
      <c r="L36" s="14" t="n">
        <v>0</v>
      </c>
      <c r="M36" s="14" t="n">
        <v>0</v>
      </c>
      <c r="N36" s="14" t="n">
        <v>0</v>
      </c>
      <c r="O36" s="14" t="n">
        <v>0</v>
      </c>
      <c r="P36" s="14" t="n">
        <v>0</v>
      </c>
      <c r="Q36" s="14" t="n">
        <v>0</v>
      </c>
      <c r="R36" s="14" t="n">
        <v>0</v>
      </c>
      <c r="S36" s="14" t="n">
        <v>0</v>
      </c>
      <c r="T36" s="14" t="n">
        <v>0</v>
      </c>
      <c r="U36" s="14" t="n">
        <v>0</v>
      </c>
      <c r="V36" s="14" t="n">
        <v>0</v>
      </c>
    </row>
    <row r="37">
      <c r="A37" s="6" t="inlineStr">
        <is>
          <t>ЭЦН 210 м³/сут — установлено новых</t>
        </is>
      </c>
      <c r="B37" s="7" t="inlineStr">
        <is>
          <t>шт.</t>
        </is>
      </c>
      <c r="C37" s="8" t="inlineStr">
        <is>
          <t>Количество оплаченных новых насосов данного типоразмера</t>
        </is>
      </c>
      <c r="D37" s="16" t="n">
        <v>0</v>
      </c>
      <c r="E37" s="16" t="n">
        <v>0</v>
      </c>
      <c r="F37" s="16" t="n">
        <v>0</v>
      </c>
      <c r="G37" s="16" t="n">
        <v>0</v>
      </c>
      <c r="H37" s="16" t="n">
        <v>0</v>
      </c>
      <c r="I37" s="16" t="n">
        <v>0</v>
      </c>
      <c r="J37" s="16" t="n">
        <v>0</v>
      </c>
      <c r="K37" s="16" t="n">
        <v>0</v>
      </c>
      <c r="L37" s="16" t="n">
        <v>0</v>
      </c>
      <c r="M37" s="16" t="n">
        <v>0</v>
      </c>
      <c r="N37" s="16" t="n">
        <v>0</v>
      </c>
      <c r="O37" s="16" t="n">
        <v>0</v>
      </c>
      <c r="P37" s="16" t="n">
        <v>0</v>
      </c>
      <c r="Q37" s="16" t="n">
        <v>0</v>
      </c>
      <c r="R37" s="16" t="n">
        <v>0</v>
      </c>
      <c r="S37" s="16" t="n">
        <v>0</v>
      </c>
      <c r="T37" s="16" t="n">
        <v>0</v>
      </c>
      <c r="U37" s="16" t="n">
        <v>0</v>
      </c>
      <c r="V37" s="16" t="n">
        <v>0</v>
      </c>
    </row>
    <row r="38">
      <c r="A38" s="10" t="inlineStr">
        <is>
          <t>ЭЦН 250 м³/сут — установлено новых</t>
        </is>
      </c>
      <c r="B38" s="11" t="inlineStr">
        <is>
          <t>шт.</t>
        </is>
      </c>
      <c r="C38" s="12" t="inlineStr">
        <is>
          <t>Количество оплаченных новых насосов данного типоразмера</t>
        </is>
      </c>
      <c r="D38" s="14" t="n">
        <v>0</v>
      </c>
      <c r="E38" s="14" t="n">
        <v>0</v>
      </c>
      <c r="F38" s="14" t="n">
        <v>0</v>
      </c>
      <c r="G38" s="14" t="n">
        <v>0</v>
      </c>
      <c r="H38" s="14" t="n">
        <v>0</v>
      </c>
      <c r="I38" s="14" t="n">
        <v>0</v>
      </c>
      <c r="J38" s="14" t="n">
        <v>0</v>
      </c>
      <c r="K38" s="14" t="n">
        <v>0</v>
      </c>
      <c r="L38" s="14" t="n">
        <v>0</v>
      </c>
      <c r="M38" s="14" t="n">
        <v>0</v>
      </c>
      <c r="N38" s="14" t="n">
        <v>0</v>
      </c>
      <c r="O38" s="14" t="n">
        <v>0</v>
      </c>
      <c r="P38" s="14" t="n">
        <v>0</v>
      </c>
      <c r="Q38" s="14" t="n">
        <v>0</v>
      </c>
      <c r="R38" s="14" t="n">
        <v>0</v>
      </c>
      <c r="S38" s="14" t="n">
        <v>0</v>
      </c>
      <c r="T38" s="14" t="n">
        <v>0</v>
      </c>
      <c r="U38" s="14" t="n">
        <v>0</v>
      </c>
      <c r="V38" s="14" t="n">
        <v>0</v>
      </c>
    </row>
    <row r="39">
      <c r="A39" s="6" t="inlineStr">
        <is>
          <t>ЭЦН 320 м³/сут — установлено новых</t>
        </is>
      </c>
      <c r="B39" s="7" t="inlineStr">
        <is>
          <t>шт.</t>
        </is>
      </c>
      <c r="C39" s="8" t="inlineStr">
        <is>
          <t>Количество оплаченных новых насосов данного типоразмера</t>
        </is>
      </c>
      <c r="D39" s="16" t="n">
        <v>0</v>
      </c>
      <c r="E39" s="16" t="n">
        <v>0</v>
      </c>
      <c r="F39" s="16" t="n">
        <v>0</v>
      </c>
      <c r="G39" s="16" t="n">
        <v>0</v>
      </c>
      <c r="H39" s="16" t="n">
        <v>0</v>
      </c>
      <c r="I39" s="16" t="n">
        <v>0</v>
      </c>
      <c r="J39" s="16" t="n">
        <v>0</v>
      </c>
      <c r="K39" s="16" t="n">
        <v>0</v>
      </c>
      <c r="L39" s="16" t="n">
        <v>0</v>
      </c>
      <c r="M39" s="16" t="n">
        <v>0</v>
      </c>
      <c r="N39" s="16" t="n">
        <v>0</v>
      </c>
      <c r="O39" s="16" t="n">
        <v>0</v>
      </c>
      <c r="P39" s="16" t="n">
        <v>0</v>
      </c>
      <c r="Q39" s="16" t="n">
        <v>0</v>
      </c>
      <c r="R39" s="16" t="n">
        <v>0</v>
      </c>
      <c r="S39" s="16" t="n">
        <v>0</v>
      </c>
      <c r="T39" s="16" t="n">
        <v>0</v>
      </c>
      <c r="U39" s="16" t="n">
        <v>0</v>
      </c>
      <c r="V39" s="16" t="n">
        <v>0</v>
      </c>
    </row>
    <row r="40">
      <c r="A40" s="10" t="inlineStr">
        <is>
          <t>ЭЦН 400 м³/сут — установлено новых</t>
        </is>
      </c>
      <c r="B40" s="11" t="inlineStr">
        <is>
          <t>шт.</t>
        </is>
      </c>
      <c r="C40" s="12" t="inlineStr">
        <is>
          <t>Количество оплаченных новых насосов данного типоразмера</t>
        </is>
      </c>
      <c r="D40" s="14" t="n">
        <v>0</v>
      </c>
      <c r="E40" s="14" t="n">
        <v>0</v>
      </c>
      <c r="F40" s="14" t="n">
        <v>0</v>
      </c>
      <c r="G40" s="14" t="n">
        <v>0</v>
      </c>
      <c r="H40" s="14" t="n">
        <v>0</v>
      </c>
      <c r="I40" s="14" t="n">
        <v>0</v>
      </c>
      <c r="J40" s="14" t="n">
        <v>0</v>
      </c>
      <c r="K40" s="14" t="n">
        <v>0</v>
      </c>
      <c r="L40" s="14" t="n">
        <v>0</v>
      </c>
      <c r="M40" s="14" t="n">
        <v>0</v>
      </c>
      <c r="N40" s="14" t="n">
        <v>0</v>
      </c>
      <c r="O40" s="14" t="n">
        <v>0</v>
      </c>
      <c r="P40" s="14" t="n">
        <v>0</v>
      </c>
      <c r="Q40" s="14" t="n">
        <v>0</v>
      </c>
      <c r="R40" s="14" t="n">
        <v>0</v>
      </c>
      <c r="S40" s="14" t="n">
        <v>0</v>
      </c>
      <c r="T40" s="14" t="n">
        <v>0</v>
      </c>
      <c r="U40" s="14" t="n">
        <v>0</v>
      </c>
      <c r="V40" s="14" t="n">
        <v>0</v>
      </c>
    </row>
    <row r="41" ht="22" customHeight="1">
      <c r="A41" s="17" t="inlineStr">
        <is>
          <t>Исходные экономические нормативы</t>
        </is>
      </c>
    </row>
    <row r="42">
      <c r="A42" s="10" t="inlineStr">
        <is>
          <t>Приведенная цена реализации нефти</t>
        </is>
      </c>
      <c r="B42" s="11" t="inlineStr">
        <is>
          <t>руб./т</t>
        </is>
      </c>
      <c r="C42" s="12" t="inlineStr">
        <is>
          <t>Файл нормативов</t>
        </is>
      </c>
      <c r="D42" s="14" t="n">
        <v>28000</v>
      </c>
      <c r="E42" s="14" t="n">
        <v>28000</v>
      </c>
      <c r="F42" s="14" t="n">
        <v>28000</v>
      </c>
      <c r="G42" s="14" t="n">
        <v>28000</v>
      </c>
      <c r="H42" s="14" t="n">
        <v>28000</v>
      </c>
      <c r="I42" s="14" t="n">
        <v>28000</v>
      </c>
      <c r="J42" s="14" t="n">
        <v>28000</v>
      </c>
      <c r="K42" s="14" t="n">
        <v>28000</v>
      </c>
      <c r="L42" s="14" t="n">
        <v>28000</v>
      </c>
      <c r="M42" s="14" t="n">
        <v>28000</v>
      </c>
      <c r="N42" s="14" t="n">
        <v>28000</v>
      </c>
      <c r="O42" s="14" t="n">
        <v>28000</v>
      </c>
      <c r="P42" s="14" t="n">
        <v>28000</v>
      </c>
      <c r="Q42" s="14" t="n">
        <v>28000</v>
      </c>
      <c r="R42" s="14" t="n">
        <v>28000</v>
      </c>
      <c r="S42" s="14" t="n">
        <v>28000</v>
      </c>
      <c r="T42" s="14" t="n">
        <v>28000</v>
      </c>
      <c r="U42" s="14" t="n">
        <v>28000</v>
      </c>
      <c r="V42" s="14" t="n">
        <v>28000</v>
      </c>
    </row>
    <row r="43">
      <c r="A43" s="6" t="inlineStr">
        <is>
          <t>Отчисления</t>
        </is>
      </c>
      <c r="B43" s="7" t="inlineStr">
        <is>
          <t>руб./т</t>
        </is>
      </c>
      <c r="C43" s="8" t="inlineStr">
        <is>
          <t>Файл нормативов</t>
        </is>
      </c>
      <c r="D43" s="16" t="n">
        <v>19600</v>
      </c>
      <c r="E43" s="16" t="n">
        <v>19600</v>
      </c>
      <c r="F43" s="16" t="n">
        <v>19600</v>
      </c>
      <c r="G43" s="16" t="n">
        <v>19600</v>
      </c>
      <c r="H43" s="16" t="n">
        <v>19600</v>
      </c>
      <c r="I43" s="16" t="n">
        <v>19600</v>
      </c>
      <c r="J43" s="16" t="n">
        <v>19600</v>
      </c>
      <c r="K43" s="16" t="n">
        <v>19600</v>
      </c>
      <c r="L43" s="16" t="n">
        <v>19600</v>
      </c>
      <c r="M43" s="16" t="n">
        <v>19600</v>
      </c>
      <c r="N43" s="16" t="n">
        <v>19600</v>
      </c>
      <c r="O43" s="16" t="n">
        <v>19600</v>
      </c>
      <c r="P43" s="16" t="n">
        <v>19600</v>
      </c>
      <c r="Q43" s="16" t="n">
        <v>19600</v>
      </c>
      <c r="R43" s="16" t="n">
        <v>19600</v>
      </c>
      <c r="S43" s="16" t="n">
        <v>19600</v>
      </c>
      <c r="T43" s="16" t="n">
        <v>19600</v>
      </c>
      <c r="U43" s="16" t="n">
        <v>19600</v>
      </c>
      <c r="V43" s="16" t="n">
        <v>19600</v>
      </c>
    </row>
    <row r="44">
      <c r="A44" s="10" t="inlineStr">
        <is>
          <t>OPEX на нефть</t>
        </is>
      </c>
      <c r="B44" s="11" t="inlineStr">
        <is>
          <t>руб./т</t>
        </is>
      </c>
      <c r="C44" s="12" t="inlineStr">
        <is>
          <t>Файл нормативов</t>
        </is>
      </c>
      <c r="D44" s="14" t="n">
        <v>40</v>
      </c>
      <c r="E44" s="14" t="n">
        <v>40</v>
      </c>
      <c r="F44" s="14" t="n">
        <v>40</v>
      </c>
      <c r="G44" s="14" t="n">
        <v>40</v>
      </c>
      <c r="H44" s="14" t="n">
        <v>40</v>
      </c>
      <c r="I44" s="14" t="n">
        <v>40</v>
      </c>
      <c r="J44" s="14" t="n">
        <v>40</v>
      </c>
      <c r="K44" s="14" t="n">
        <v>40</v>
      </c>
      <c r="L44" s="14" t="n">
        <v>40</v>
      </c>
      <c r="M44" s="14" t="n">
        <v>40</v>
      </c>
      <c r="N44" s="14" t="n">
        <v>40</v>
      </c>
      <c r="O44" s="14" t="n">
        <v>40</v>
      </c>
      <c r="P44" s="14" t="n">
        <v>40</v>
      </c>
      <c r="Q44" s="14" t="n">
        <v>40</v>
      </c>
      <c r="R44" s="14" t="n">
        <v>40</v>
      </c>
      <c r="S44" s="14" t="n">
        <v>40</v>
      </c>
      <c r="T44" s="14" t="n">
        <v>40</v>
      </c>
      <c r="U44" s="14" t="n">
        <v>40</v>
      </c>
      <c r="V44" s="14" t="n">
        <v>40</v>
      </c>
    </row>
    <row r="45">
      <c r="A45" s="6" t="inlineStr">
        <is>
          <t>OPEX на жидкость</t>
        </is>
      </c>
      <c r="B45" s="7" t="inlineStr">
        <is>
          <t>руб./т</t>
        </is>
      </c>
      <c r="C45" s="8" t="inlineStr">
        <is>
          <t>Файл нормативов</t>
        </is>
      </c>
      <c r="D45" s="16" t="n">
        <v>100</v>
      </c>
      <c r="E45" s="16" t="n">
        <v>100</v>
      </c>
      <c r="F45" s="16" t="n">
        <v>100</v>
      </c>
      <c r="G45" s="16" t="n">
        <v>100</v>
      </c>
      <c r="H45" s="16" t="n">
        <v>100</v>
      </c>
      <c r="I45" s="16" t="n">
        <v>100</v>
      </c>
      <c r="J45" s="16" t="n">
        <v>100</v>
      </c>
      <c r="K45" s="16" t="n">
        <v>100</v>
      </c>
      <c r="L45" s="16" t="n">
        <v>100</v>
      </c>
      <c r="M45" s="16" t="n">
        <v>100</v>
      </c>
      <c r="N45" s="16" t="n">
        <v>100</v>
      </c>
      <c r="O45" s="16" t="n">
        <v>100</v>
      </c>
      <c r="P45" s="16" t="n">
        <v>100</v>
      </c>
      <c r="Q45" s="16" t="n">
        <v>100</v>
      </c>
      <c r="R45" s="16" t="n">
        <v>100</v>
      </c>
      <c r="S45" s="16" t="n">
        <v>100</v>
      </c>
      <c r="T45" s="16" t="n">
        <v>100</v>
      </c>
      <c r="U45" s="16" t="n">
        <v>100</v>
      </c>
      <c r="V45" s="16" t="n">
        <v>100</v>
      </c>
    </row>
    <row r="46">
      <c r="A46" s="10" t="inlineStr">
        <is>
          <t>OPEX на закачку</t>
        </is>
      </c>
      <c r="B46" s="11" t="inlineStr">
        <is>
          <t>руб./м³</t>
        </is>
      </c>
      <c r="C46" s="12" t="inlineStr">
        <is>
          <t>Файл нормативов</t>
        </is>
      </c>
      <c r="D46" s="14" t="n">
        <v>30</v>
      </c>
      <c r="E46" s="14" t="n">
        <v>30</v>
      </c>
      <c r="F46" s="14" t="n">
        <v>30</v>
      </c>
      <c r="G46" s="14" t="n">
        <v>30</v>
      </c>
      <c r="H46" s="14" t="n">
        <v>30</v>
      </c>
      <c r="I46" s="14" t="n">
        <v>30</v>
      </c>
      <c r="J46" s="14" t="n">
        <v>30</v>
      </c>
      <c r="K46" s="14" t="n">
        <v>30</v>
      </c>
      <c r="L46" s="14" t="n">
        <v>30</v>
      </c>
      <c r="M46" s="14" t="n">
        <v>30</v>
      </c>
      <c r="N46" s="14" t="n">
        <v>30</v>
      </c>
      <c r="O46" s="14" t="n">
        <v>30</v>
      </c>
      <c r="P46" s="14" t="n">
        <v>30</v>
      </c>
      <c r="Q46" s="14" t="n">
        <v>30</v>
      </c>
      <c r="R46" s="14" t="n">
        <v>30</v>
      </c>
      <c r="S46" s="14" t="n">
        <v>30</v>
      </c>
      <c r="T46" s="14" t="n">
        <v>30</v>
      </c>
      <c r="U46" s="14" t="n">
        <v>30</v>
      </c>
      <c r="V46" s="14" t="n">
        <v>30</v>
      </c>
    </row>
    <row r="47">
      <c r="A47" s="6" t="inlineStr">
        <is>
          <t>Содержание действующего фонда</t>
        </is>
      </c>
      <c r="B47" s="7" t="inlineStr">
        <is>
          <t>руб./скв.-год</t>
        </is>
      </c>
      <c r="C47" s="8" t="inlineStr">
        <is>
          <t>Файл нормативов</t>
        </is>
      </c>
      <c r="D47" s="16" t="n">
        <v>1000000</v>
      </c>
      <c r="E47" s="16" t="n">
        <v>1000000</v>
      </c>
      <c r="F47" s="16" t="n">
        <v>1000000</v>
      </c>
      <c r="G47" s="16" t="n">
        <v>1000000</v>
      </c>
      <c r="H47" s="16" t="n">
        <v>1000000</v>
      </c>
      <c r="I47" s="16" t="n">
        <v>1000000</v>
      </c>
      <c r="J47" s="16" t="n">
        <v>1000000</v>
      </c>
      <c r="K47" s="16" t="n">
        <v>1000000</v>
      </c>
      <c r="L47" s="16" t="n">
        <v>1000000</v>
      </c>
      <c r="M47" s="16" t="n">
        <v>1000000</v>
      </c>
      <c r="N47" s="16" t="n">
        <v>1000000</v>
      </c>
      <c r="O47" s="16" t="n">
        <v>1000000</v>
      </c>
      <c r="P47" s="16" t="n">
        <v>1000000</v>
      </c>
      <c r="Q47" s="16" t="n">
        <v>1000000</v>
      </c>
      <c r="R47" s="16" t="n">
        <v>1000000</v>
      </c>
      <c r="S47" s="16" t="n">
        <v>1000000</v>
      </c>
      <c r="T47" s="16" t="n">
        <v>1000000</v>
      </c>
      <c r="U47" s="16" t="n">
        <v>1000000</v>
      </c>
      <c r="V47" s="16" t="n">
        <v>1000000</v>
      </c>
    </row>
    <row r="48">
      <c r="A48" s="10" t="inlineStr">
        <is>
          <t>Ставка налога на прибыль</t>
        </is>
      </c>
      <c r="B48" s="11" t="inlineStr">
        <is>
          <t>%</t>
        </is>
      </c>
      <c r="C48" s="12" t="inlineStr">
        <is>
          <t>Файл нормативов</t>
        </is>
      </c>
      <c r="D48" s="18" t="n">
        <v>25</v>
      </c>
      <c r="E48" s="18" t="n">
        <v>25</v>
      </c>
      <c r="F48" s="18" t="n">
        <v>25</v>
      </c>
      <c r="G48" s="18" t="n">
        <v>25</v>
      </c>
      <c r="H48" s="18" t="n">
        <v>25</v>
      </c>
      <c r="I48" s="18" t="n">
        <v>25</v>
      </c>
      <c r="J48" s="18" t="n">
        <v>25</v>
      </c>
      <c r="K48" s="18" t="n">
        <v>25</v>
      </c>
      <c r="L48" s="18" t="n">
        <v>25</v>
      </c>
      <c r="M48" s="18" t="n">
        <v>25</v>
      </c>
      <c r="N48" s="18" t="n">
        <v>25</v>
      </c>
      <c r="O48" s="18" t="n">
        <v>25</v>
      </c>
      <c r="P48" s="18" t="n">
        <v>25</v>
      </c>
      <c r="Q48" s="18" t="n">
        <v>25</v>
      </c>
      <c r="R48" s="18" t="n">
        <v>25</v>
      </c>
      <c r="S48" s="18" t="n">
        <v>25</v>
      </c>
      <c r="T48" s="18" t="n">
        <v>25</v>
      </c>
      <c r="U48" s="18" t="n">
        <v>25</v>
      </c>
      <c r="V48" s="18" t="n">
        <v>25</v>
      </c>
    </row>
    <row r="49">
      <c r="A49" s="6" t="inlineStr">
        <is>
          <t>Ставка налога на имущество</t>
        </is>
      </c>
      <c r="B49" s="7" t="inlineStr">
        <is>
          <t>%</t>
        </is>
      </c>
      <c r="C49" s="8" t="inlineStr">
        <is>
          <t>Файл нормативов</t>
        </is>
      </c>
      <c r="D49" s="19" t="n">
        <v>2.2</v>
      </c>
      <c r="E49" s="19" t="n">
        <v>2.2</v>
      </c>
      <c r="F49" s="19" t="n">
        <v>2.2</v>
      </c>
      <c r="G49" s="19" t="n">
        <v>2.2</v>
      </c>
      <c r="H49" s="19" t="n">
        <v>2.2</v>
      </c>
      <c r="I49" s="19" t="n">
        <v>2.2</v>
      </c>
      <c r="J49" s="19" t="n">
        <v>2.2</v>
      </c>
      <c r="K49" s="19" t="n">
        <v>2.2</v>
      </c>
      <c r="L49" s="19" t="n">
        <v>2.2</v>
      </c>
      <c r="M49" s="19" t="n">
        <v>2.2</v>
      </c>
      <c r="N49" s="19" t="n">
        <v>2.2</v>
      </c>
      <c r="O49" s="19" t="n">
        <v>2.2</v>
      </c>
      <c r="P49" s="19" t="n">
        <v>2.2</v>
      </c>
      <c r="Q49" s="19" t="n">
        <v>2.2</v>
      </c>
      <c r="R49" s="19" t="n">
        <v>2.2</v>
      </c>
      <c r="S49" s="19" t="n">
        <v>2.2</v>
      </c>
      <c r="T49" s="19" t="n">
        <v>2.2</v>
      </c>
      <c r="U49" s="19" t="n">
        <v>2.2</v>
      </c>
      <c r="V49" s="19" t="n">
        <v>2.2</v>
      </c>
    </row>
    <row r="50">
      <c r="A50" s="10" t="inlineStr">
        <is>
          <t>WACC</t>
        </is>
      </c>
      <c r="B50" s="11" t="inlineStr">
        <is>
          <t>%</t>
        </is>
      </c>
      <c r="C50" s="12" t="inlineStr">
        <is>
          <t>Файл нормативов</t>
        </is>
      </c>
      <c r="D50" s="18" t="n">
        <v>10</v>
      </c>
      <c r="E50" s="18" t="n">
        <v>10</v>
      </c>
      <c r="F50" s="18" t="n">
        <v>10</v>
      </c>
      <c r="G50" s="18" t="n">
        <v>10</v>
      </c>
      <c r="H50" s="18" t="n">
        <v>10</v>
      </c>
      <c r="I50" s="18" t="n">
        <v>10</v>
      </c>
      <c r="J50" s="18" t="n">
        <v>10</v>
      </c>
      <c r="K50" s="18" t="n">
        <v>10</v>
      </c>
      <c r="L50" s="18" t="n">
        <v>10</v>
      </c>
      <c r="M50" s="18" t="n">
        <v>10</v>
      </c>
      <c r="N50" s="18" t="n">
        <v>10</v>
      </c>
      <c r="O50" s="18" t="n">
        <v>10</v>
      </c>
      <c r="P50" s="18" t="n">
        <v>10</v>
      </c>
      <c r="Q50" s="18" t="n">
        <v>10</v>
      </c>
      <c r="R50" s="18" t="n">
        <v>10</v>
      </c>
      <c r="S50" s="18" t="n">
        <v>10</v>
      </c>
      <c r="T50" s="18" t="n">
        <v>10</v>
      </c>
      <c r="U50" s="18" t="n">
        <v>10</v>
      </c>
      <c r="V50" s="18" t="n">
        <v>10</v>
      </c>
    </row>
    <row r="51" ht="22" customHeight="1">
      <c r="A51" s="20" t="inlineStr">
        <is>
          <t>Рассчитанные экономические показатели</t>
        </is>
      </c>
    </row>
    <row r="52">
      <c r="A52" s="10" t="inlineStr">
        <is>
          <t>Выручка от основной деятельности</t>
        </is>
      </c>
      <c r="B52" s="11" t="inlineStr">
        <is>
          <t>млн руб.</t>
        </is>
      </c>
      <c r="C52" s="12" t="inlineStr">
        <is>
          <t>Добыча нефти × цена</t>
        </is>
      </c>
      <c r="D52" s="13" t="n">
        <v>10216.17779385752</v>
      </c>
      <c r="E52" s="13" t="n">
        <v>11762.95611294666</v>
      </c>
      <c r="F52" s="13" t="n">
        <v>11219.79143146572</v>
      </c>
      <c r="G52" s="13" t="n">
        <v>9364.136203080188</v>
      </c>
      <c r="H52" s="13" t="n">
        <v>8141.103456679484</v>
      </c>
      <c r="I52" s="13" t="n">
        <v>7716.233688803408</v>
      </c>
      <c r="J52" s="13" t="n">
        <v>7129.113821313131</v>
      </c>
      <c r="K52" s="13" t="n">
        <v>6478.673004309949</v>
      </c>
      <c r="L52" s="13" t="n">
        <v>5936.051610746236</v>
      </c>
      <c r="M52" s="13" t="n">
        <v>5554.863213432789</v>
      </c>
      <c r="N52" s="13" t="n">
        <v>4898.902600665971</v>
      </c>
      <c r="O52" s="13" t="n">
        <v>4490.386545930402</v>
      </c>
      <c r="P52" s="13" t="n">
        <v>4325.797409357572</v>
      </c>
      <c r="Q52" s="13" t="n">
        <v>3985.411621717688</v>
      </c>
      <c r="R52" s="13" t="n">
        <v>3661.944110334843</v>
      </c>
      <c r="S52" s="13" t="n">
        <v>3403.170116747933</v>
      </c>
      <c r="T52" s="13" t="n">
        <v>3196.153575256566</v>
      </c>
      <c r="U52" s="13" t="n">
        <v>3011.199909827941</v>
      </c>
      <c r="V52" s="13" t="n">
        <v>1916.784578861385</v>
      </c>
    </row>
    <row r="53">
      <c r="A53" s="6" t="inlineStr">
        <is>
          <t>OPEX на нефть</t>
        </is>
      </c>
      <c r="B53" s="7" t="inlineStr">
        <is>
          <t>млн руб.</t>
        </is>
      </c>
      <c r="C53" s="8" t="inlineStr">
        <is>
          <t>Добыча нефти × норматив</t>
        </is>
      </c>
      <c r="D53" s="9" t="n">
        <v>14.59453970551074</v>
      </c>
      <c r="E53" s="9" t="n">
        <v>16.80422301849523</v>
      </c>
      <c r="F53" s="9" t="n">
        <v>16.02827347352245</v>
      </c>
      <c r="G53" s="9" t="n">
        <v>13.3773374329717</v>
      </c>
      <c r="H53" s="9" t="n">
        <v>11.63014779525641</v>
      </c>
      <c r="I53" s="9" t="n">
        <v>11.02319098400487</v>
      </c>
      <c r="J53" s="9" t="n">
        <v>10.18444831616162</v>
      </c>
      <c r="K53" s="9" t="n">
        <v>9.255247149014211</v>
      </c>
      <c r="L53" s="9" t="n">
        <v>8.48007372963748</v>
      </c>
      <c r="M53" s="9" t="n">
        <v>7.935518876332556</v>
      </c>
      <c r="N53" s="9" t="n">
        <v>6.998432286665672</v>
      </c>
      <c r="O53" s="9" t="n">
        <v>6.414837922757718</v>
      </c>
      <c r="P53" s="9" t="n">
        <v>6.179710584796531</v>
      </c>
      <c r="Q53" s="9" t="n">
        <v>5.693445173882412</v>
      </c>
      <c r="R53" s="9" t="n">
        <v>5.231348729049776</v>
      </c>
      <c r="S53" s="9" t="n">
        <v>4.861671595354189</v>
      </c>
      <c r="T53" s="9" t="n">
        <v>4.565933678937951</v>
      </c>
      <c r="U53" s="9" t="n">
        <v>4.301714156897058</v>
      </c>
      <c r="V53" s="9" t="n">
        <v>2.738263684087693</v>
      </c>
    </row>
    <row r="54">
      <c r="A54" s="10" t="inlineStr">
        <is>
          <t>OPEX на жидкость</t>
        </is>
      </c>
      <c r="B54" s="11" t="inlineStr">
        <is>
          <t>млн руб.</t>
        </is>
      </c>
      <c r="C54" s="12" t="inlineStr">
        <is>
          <t>Добыча жидкости × норматив</t>
        </is>
      </c>
      <c r="D54" s="13" t="n">
        <v>41.06697872845565</v>
      </c>
      <c r="E54" s="13" t="n">
        <v>49.91392887973628</v>
      </c>
      <c r="F54" s="13" t="n">
        <v>52.91498368536232</v>
      </c>
      <c r="G54" s="13" t="n">
        <v>54.42051321466025</v>
      </c>
      <c r="H54" s="13" t="n">
        <v>59.25267453706601</v>
      </c>
      <c r="I54" s="13" t="n">
        <v>65.63961028650166</v>
      </c>
      <c r="J54" s="13" t="n">
        <v>69.76011125764724</v>
      </c>
      <c r="K54" s="13" t="n">
        <v>73.49241750080523</v>
      </c>
      <c r="L54" s="13" t="n">
        <v>78.30490745219051</v>
      </c>
      <c r="M54" s="13" t="n">
        <v>82.86916525996207</v>
      </c>
      <c r="N54" s="13" t="n">
        <v>86.1880626324126</v>
      </c>
      <c r="O54" s="13" t="n">
        <v>89.85182917370931</v>
      </c>
      <c r="P54" s="13" t="n">
        <v>93.94312063532743</v>
      </c>
      <c r="Q54" s="13" t="n">
        <v>96.7150779218816</v>
      </c>
      <c r="R54" s="13" t="n">
        <v>98.78798894895284</v>
      </c>
      <c r="S54" s="13" t="n">
        <v>101.2347433213346</v>
      </c>
      <c r="T54" s="13" t="n">
        <v>103.56662737735</v>
      </c>
      <c r="U54" s="13" t="n">
        <v>106.0883598415116</v>
      </c>
      <c r="V54" s="13" t="n">
        <v>71.8434823165375</v>
      </c>
    </row>
    <row r="55">
      <c r="A55" s="6" t="inlineStr">
        <is>
          <t>OPEX на закачку</t>
        </is>
      </c>
      <c r="B55" s="7" t="inlineStr">
        <is>
          <t>млн руб.</t>
        </is>
      </c>
      <c r="C55" s="8" t="inlineStr">
        <is>
          <t>Закачка × норматив</t>
        </is>
      </c>
      <c r="D55" s="9" t="n">
        <v>19.47140772951</v>
      </c>
      <c r="E55" s="9" t="n">
        <v>22.47920500479</v>
      </c>
      <c r="F55" s="9" t="n">
        <v>23.59554896487</v>
      </c>
      <c r="G55" s="9" t="n">
        <v>24.34870141911</v>
      </c>
      <c r="H55" s="9" t="n">
        <v>25.66876319937</v>
      </c>
      <c r="I55" s="9" t="n">
        <v>27.61820938299</v>
      </c>
      <c r="J55" s="9" t="n">
        <v>28.25281931406</v>
      </c>
      <c r="K55" s="9" t="n">
        <v>28.92869201646</v>
      </c>
      <c r="L55" s="9" t="n">
        <v>30.00776428719</v>
      </c>
      <c r="M55" s="9" t="n">
        <v>31.09852722654</v>
      </c>
      <c r="N55" s="9" t="n">
        <v>32.08501708008</v>
      </c>
      <c r="O55" s="9" t="n">
        <v>32.80655085297</v>
      </c>
      <c r="P55" s="9" t="n">
        <v>33.77041707183</v>
      </c>
      <c r="Q55" s="9" t="n">
        <v>34.50275140134</v>
      </c>
      <c r="R55" s="9" t="n">
        <v>34.91063487309</v>
      </c>
      <c r="S55" s="9" t="n">
        <v>35.62675892577</v>
      </c>
      <c r="T55" s="9" t="n">
        <v>36.02677916022</v>
      </c>
      <c r="U55" s="9" t="n">
        <v>36.63012585933</v>
      </c>
      <c r="V55" s="9" t="n">
        <v>24.57323109375</v>
      </c>
    </row>
    <row r="56">
      <c r="A56" s="10" t="inlineStr">
        <is>
          <t>Содержание действующего фонда</t>
        </is>
      </c>
      <c r="B56" s="11" t="inlineStr">
        <is>
          <t>млн руб.</t>
        </is>
      </c>
      <c r="C56" s="12" t="inlineStr">
        <is>
          <t>Активные скважино-месяцы × годовой норматив / 12</t>
        </is>
      </c>
      <c r="D56" s="13" t="n">
        <v>83</v>
      </c>
      <c r="E56" s="13" t="n">
        <v>85.58333333333334</v>
      </c>
      <c r="F56" s="13" t="n">
        <v>87</v>
      </c>
      <c r="G56" s="13" t="n">
        <v>87.25</v>
      </c>
      <c r="H56" s="13" t="n">
        <v>89.25</v>
      </c>
      <c r="I56" s="13" t="n">
        <v>92</v>
      </c>
      <c r="J56" s="13" t="n">
        <v>93.58333333333333</v>
      </c>
      <c r="K56" s="13" t="n">
        <v>94.16666666666666</v>
      </c>
      <c r="L56" s="13" t="n">
        <v>96.5</v>
      </c>
      <c r="M56" s="13" t="n">
        <v>98.91666666666666</v>
      </c>
      <c r="N56" s="13" t="n">
        <v>99.99999999999999</v>
      </c>
      <c r="O56" s="13" t="n">
        <v>100.5833333333333</v>
      </c>
      <c r="P56" s="13" t="n">
        <v>103</v>
      </c>
      <c r="Q56" s="13" t="n">
        <v>103</v>
      </c>
      <c r="R56" s="13" t="n">
        <v>103</v>
      </c>
      <c r="S56" s="13" t="n">
        <v>103</v>
      </c>
      <c r="T56" s="13" t="n">
        <v>103</v>
      </c>
      <c r="U56" s="13" t="n">
        <v>103</v>
      </c>
      <c r="V56" s="13" t="n">
        <v>68.66666666666667</v>
      </c>
    </row>
    <row r="57">
      <c r="A57" s="6" t="inlineStr">
        <is>
          <t>Налог на имущество</t>
        </is>
      </c>
      <c r="B57" s="7" t="inlineStr">
        <is>
          <t>млн руб.</t>
        </is>
      </c>
      <c r="C57" s="8" t="inlineStr">
        <is>
          <t>((ОС нач. + ОС кон.) / 2) × 2,2%</t>
        </is>
      </c>
      <c r="D57" s="9" t="n">
        <v>0</v>
      </c>
      <c r="E57" s="9" t="n">
        <v>0</v>
      </c>
      <c r="F57" s="9" t="n">
        <v>0</v>
      </c>
      <c r="G57" s="9" t="n">
        <v>0</v>
      </c>
      <c r="H57" s="9" t="n">
        <v>0</v>
      </c>
      <c r="I57" s="9" t="n">
        <v>0</v>
      </c>
      <c r="J57" s="9" t="n">
        <v>0</v>
      </c>
      <c r="K57" s="9" t="n">
        <v>0</v>
      </c>
      <c r="L57" s="9" t="n">
        <v>0</v>
      </c>
      <c r="M57" s="9" t="n">
        <v>0</v>
      </c>
      <c r="N57" s="9" t="n">
        <v>0</v>
      </c>
      <c r="O57" s="9" t="n">
        <v>0</v>
      </c>
      <c r="P57" s="9" t="n">
        <v>0</v>
      </c>
      <c r="Q57" s="9" t="n">
        <v>0</v>
      </c>
      <c r="R57" s="9" t="n">
        <v>0</v>
      </c>
      <c r="S57" s="9" t="n">
        <v>0</v>
      </c>
      <c r="T57" s="9" t="n">
        <v>0</v>
      </c>
      <c r="U57" s="9" t="n">
        <v>0</v>
      </c>
      <c r="V57" s="9" t="n">
        <v>0</v>
      </c>
    </row>
    <row r="58">
      <c r="A58" s="10" t="inlineStr">
        <is>
          <t>Полный OPEX</t>
        </is>
      </c>
      <c r="B58" s="11" t="inlineStr">
        <is>
          <t>млн руб.</t>
        </is>
      </c>
      <c r="C58" s="12" t="inlineStr">
        <is>
          <t>Все операционные затраты, включая события</t>
        </is>
      </c>
      <c r="D58" s="13" t="n">
        <v>216.1329261634764</v>
      </c>
      <c r="E58" s="13" t="n">
        <v>207.1806902363548</v>
      </c>
      <c r="F58" s="13" t="n">
        <v>183.1388061237548</v>
      </c>
      <c r="G58" s="13" t="n">
        <v>191.796552066742</v>
      </c>
      <c r="H58" s="13" t="n">
        <v>203.6015855316924</v>
      </c>
      <c r="I58" s="13" t="n">
        <v>219.8810106534965</v>
      </c>
      <c r="J58" s="13" t="n">
        <v>221.3807122212022</v>
      </c>
      <c r="K58" s="13" t="n">
        <v>216.8430233329461</v>
      </c>
      <c r="L58" s="13" t="n">
        <v>216.092745469018</v>
      </c>
      <c r="M58" s="13" t="n">
        <v>225.6198780295013</v>
      </c>
      <c r="N58" s="13" t="n">
        <v>228.8715119991583</v>
      </c>
      <c r="O58" s="13" t="n">
        <v>232.6565512827704</v>
      </c>
      <c r="P58" s="13" t="n">
        <v>236.893248291954</v>
      </c>
      <c r="Q58" s="13" t="n">
        <v>243.511274497104</v>
      </c>
      <c r="R58" s="13" t="n">
        <v>243.7299725510926</v>
      </c>
      <c r="S58" s="13" t="n">
        <v>260.5231738424587</v>
      </c>
      <c r="T58" s="13" t="n">
        <v>247.159340216508</v>
      </c>
      <c r="U58" s="13" t="n">
        <v>259.0201998577387</v>
      </c>
      <c r="V58" s="13" t="n">
        <v>171.4216437610418</v>
      </c>
    </row>
    <row r="59">
      <c r="A59" s="6" t="inlineStr">
        <is>
          <t>CAPEX новых ЭЦН</t>
        </is>
      </c>
      <c r="B59" s="7" t="inlineStr">
        <is>
          <t>млн руб.</t>
        </is>
      </c>
      <c r="C59" s="8" t="inlineStr">
        <is>
          <t>Стоимость установленных новых насосов</t>
        </is>
      </c>
      <c r="D59" s="9" t="n">
        <v>17.75794</v>
      </c>
      <c r="E59" s="9" t="n">
        <v>9.10397</v>
      </c>
      <c r="F59" s="9" t="n">
        <v>1.4</v>
      </c>
      <c r="G59" s="9" t="n">
        <v>2.15</v>
      </c>
      <c r="H59" s="9" t="n">
        <v>4.4</v>
      </c>
      <c r="I59" s="9" t="n">
        <v>5.15794</v>
      </c>
      <c r="J59" s="9" t="n">
        <v>5.20397</v>
      </c>
      <c r="K59" s="9" t="n">
        <v>4.21191</v>
      </c>
      <c r="L59" s="9" t="n">
        <v>0.75</v>
      </c>
      <c r="M59" s="9" t="n">
        <v>0.65</v>
      </c>
      <c r="N59" s="9" t="n">
        <v>1.55397</v>
      </c>
      <c r="O59" s="9" t="n">
        <v>0</v>
      </c>
      <c r="P59" s="9" t="n">
        <v>0</v>
      </c>
      <c r="Q59" s="9" t="n">
        <v>1.65397</v>
      </c>
      <c r="R59" s="9" t="n">
        <v>0.9039700000000001</v>
      </c>
      <c r="S59" s="9" t="n">
        <v>6.90794</v>
      </c>
      <c r="T59" s="9" t="n">
        <v>0</v>
      </c>
      <c r="U59" s="9" t="n">
        <v>4.21191</v>
      </c>
      <c r="V59" s="9" t="n">
        <v>1.80794</v>
      </c>
    </row>
    <row r="60">
      <c r="A60" s="10" t="inlineStr">
        <is>
          <t>Амортизация</t>
        </is>
      </c>
      <c r="B60" s="11" t="inlineStr">
        <is>
          <t>млн руб.</t>
        </is>
      </c>
      <c r="C60" s="12" t="inlineStr">
        <is>
          <t>Годовой норматив / 12 по имеющимся месяцам</t>
        </is>
      </c>
      <c r="D60" s="13" t="n">
        <v>0</v>
      </c>
      <c r="E60" s="13" t="n">
        <v>0</v>
      </c>
      <c r="F60" s="13" t="n">
        <v>0</v>
      </c>
      <c r="G60" s="13" t="n">
        <v>0</v>
      </c>
      <c r="H60" s="13" t="n">
        <v>0</v>
      </c>
      <c r="I60" s="13" t="n">
        <v>0</v>
      </c>
      <c r="J60" s="13" t="n">
        <v>0</v>
      </c>
      <c r="K60" s="13" t="n">
        <v>0</v>
      </c>
      <c r="L60" s="13" t="n">
        <v>0</v>
      </c>
      <c r="M60" s="13" t="n">
        <v>0</v>
      </c>
      <c r="N60" s="13" t="n">
        <v>0</v>
      </c>
      <c r="O60" s="13" t="n">
        <v>0</v>
      </c>
      <c r="P60" s="13" t="n">
        <v>0</v>
      </c>
      <c r="Q60" s="13" t="n">
        <v>0</v>
      </c>
      <c r="R60" s="13" t="n">
        <v>0</v>
      </c>
      <c r="S60" s="13" t="n">
        <v>0</v>
      </c>
      <c r="T60" s="13" t="n">
        <v>0</v>
      </c>
      <c r="U60" s="13" t="n">
        <v>0</v>
      </c>
      <c r="V60" s="13" t="n">
        <v>0</v>
      </c>
    </row>
    <row r="61">
      <c r="A61" s="6" t="inlineStr">
        <is>
          <t>Отчисления</t>
        </is>
      </c>
      <c r="B61" s="7" t="inlineStr">
        <is>
          <t>млн руб.</t>
        </is>
      </c>
      <c r="C61" s="8" t="inlineStr">
        <is>
          <t>Добыча нефти × норматив</t>
        </is>
      </c>
      <c r="D61" s="9" t="n">
        <v>7151.324455700263</v>
      </c>
      <c r="E61" s="9" t="n">
        <v>8234.069279062664</v>
      </c>
      <c r="F61" s="9" t="n">
        <v>7853.854002026002</v>
      </c>
      <c r="G61" s="9" t="n">
        <v>6554.895342156132</v>
      </c>
      <c r="H61" s="9" t="n">
        <v>5698.772419675639</v>
      </c>
      <c r="I61" s="9" t="n">
        <v>5401.363582162385</v>
      </c>
      <c r="J61" s="9" t="n">
        <v>4990.379674919192</v>
      </c>
      <c r="K61" s="9" t="n">
        <v>4535.071103016964</v>
      </c>
      <c r="L61" s="9" t="n">
        <v>4155.236127522366</v>
      </c>
      <c r="M61" s="9" t="n">
        <v>3888.404249402952</v>
      </c>
      <c r="N61" s="9" t="n">
        <v>3429.231820466179</v>
      </c>
      <c r="O61" s="9" t="n">
        <v>3143.270582151281</v>
      </c>
      <c r="P61" s="9" t="n">
        <v>3028.0581865503</v>
      </c>
      <c r="Q61" s="9" t="n">
        <v>2789.788135202382</v>
      </c>
      <c r="R61" s="9" t="n">
        <v>2563.360877234391</v>
      </c>
      <c r="S61" s="9" t="n">
        <v>2382.219081723553</v>
      </c>
      <c r="T61" s="9" t="n">
        <v>2237.307502679596</v>
      </c>
      <c r="U61" s="9" t="n">
        <v>2107.839936879559</v>
      </c>
      <c r="V61" s="9" t="n">
        <v>1341.74920520297</v>
      </c>
    </row>
    <row r="62">
      <c r="A62" s="10" t="inlineStr">
        <is>
          <t>Прибыль до налогообложения</t>
        </is>
      </c>
      <c r="B62" s="11" t="inlineStr">
        <is>
          <t>млн руб.</t>
        </is>
      </c>
      <c r="C62" s="12" t="inlineStr">
        <is>
          <t>Выручка − OPEX − амортизация − отчисления − ДиР</t>
        </is>
      </c>
      <c r="D62" s="13" t="n">
        <v>2848.720411993779</v>
      </c>
      <c r="E62" s="13" t="n">
        <v>3321.706143647644</v>
      </c>
      <c r="F62" s="13" t="n">
        <v>3182.79862331596</v>
      </c>
      <c r="G62" s="13" t="n">
        <v>2617.444308857315</v>
      </c>
      <c r="H62" s="13" t="n">
        <v>2238.729451472153</v>
      </c>
      <c r="I62" s="13" t="n">
        <v>2094.989095987526</v>
      </c>
      <c r="J62" s="13" t="n">
        <v>1917.353434172737</v>
      </c>
      <c r="K62" s="13" t="n">
        <v>1726.758877960038</v>
      </c>
      <c r="L62" s="13" t="n">
        <v>1564.722737754853</v>
      </c>
      <c r="M62" s="13" t="n">
        <v>1440.839086000336</v>
      </c>
      <c r="N62" s="13" t="n">
        <v>1240.799268200633</v>
      </c>
      <c r="O62" s="13" t="n">
        <v>1114.45941249635</v>
      </c>
      <c r="P62" s="13" t="n">
        <v>1060.845974515317</v>
      </c>
      <c r="Q62" s="13" t="n">
        <v>952.1122120182025</v>
      </c>
      <c r="R62" s="13" t="n">
        <v>854.8532605493604</v>
      </c>
      <c r="S62" s="13" t="n">
        <v>760.427861181921</v>
      </c>
      <c r="T62" s="13" t="n">
        <v>711.686732360462</v>
      </c>
      <c r="U62" s="13" t="n">
        <v>644.3397730906435</v>
      </c>
      <c r="V62" s="13" t="n">
        <v>403.6137298973738</v>
      </c>
    </row>
    <row r="63">
      <c r="A63" s="6" t="inlineStr">
        <is>
          <t>Налог на прибыль</t>
        </is>
      </c>
      <c r="B63" s="7" t="inlineStr">
        <is>
          <t>млн руб.</t>
        </is>
      </c>
      <c r="C63" s="8" t="inlineStr">
        <is>
          <t>max(0; годовая налоговая база) × 25%</t>
        </is>
      </c>
      <c r="D63" s="9" t="n">
        <v>712.1801029984447</v>
      </c>
      <c r="E63" s="9" t="n">
        <v>830.4265359119111</v>
      </c>
      <c r="F63" s="9" t="n">
        <v>795.6996558289901</v>
      </c>
      <c r="G63" s="9" t="n">
        <v>654.3610772143287</v>
      </c>
      <c r="H63" s="9" t="n">
        <v>559.6823628680382</v>
      </c>
      <c r="I63" s="9" t="n">
        <v>523.7472739968814</v>
      </c>
      <c r="J63" s="9" t="n">
        <v>479.3383585431843</v>
      </c>
      <c r="K63" s="9" t="n">
        <v>431.6897194900096</v>
      </c>
      <c r="L63" s="9" t="n">
        <v>391.1806844387132</v>
      </c>
      <c r="M63" s="9" t="n">
        <v>360.2097715000839</v>
      </c>
      <c r="N63" s="9" t="n">
        <v>310.1998170501582</v>
      </c>
      <c r="O63" s="9" t="n">
        <v>278.6148531240876</v>
      </c>
      <c r="P63" s="9" t="n">
        <v>265.2114936288293</v>
      </c>
      <c r="Q63" s="9" t="n">
        <v>238.0280530045506</v>
      </c>
      <c r="R63" s="9" t="n">
        <v>213.7133151373401</v>
      </c>
      <c r="S63" s="9" t="n">
        <v>190.1069652954803</v>
      </c>
      <c r="T63" s="9" t="n">
        <v>177.9216830901155</v>
      </c>
      <c r="U63" s="9" t="n">
        <v>161.0849432726609</v>
      </c>
      <c r="V63" s="9" t="n">
        <v>100.9034324743434</v>
      </c>
    </row>
    <row r="64">
      <c r="A64" s="10" t="inlineStr">
        <is>
          <t>EBITDA</t>
        </is>
      </c>
      <c r="B64" s="11" t="inlineStr">
        <is>
          <t>млн руб.</t>
        </is>
      </c>
      <c r="C64" s="12" t="inlineStr">
        <is>
          <t>Выручка − OPEX − отчисления − ДиР в EBITDA</t>
        </is>
      </c>
      <c r="D64" s="13" t="n">
        <v>2848.720411993779</v>
      </c>
      <c r="E64" s="13" t="n">
        <v>3321.706143647644</v>
      </c>
      <c r="F64" s="13" t="n">
        <v>3182.79862331596</v>
      </c>
      <c r="G64" s="13" t="n">
        <v>2617.444308857315</v>
      </c>
      <c r="H64" s="13" t="n">
        <v>2238.729451472153</v>
      </c>
      <c r="I64" s="13" t="n">
        <v>2094.989095987526</v>
      </c>
      <c r="J64" s="13" t="n">
        <v>1917.353434172737</v>
      </c>
      <c r="K64" s="13" t="n">
        <v>1726.758877960038</v>
      </c>
      <c r="L64" s="13" t="n">
        <v>1564.722737754853</v>
      </c>
      <c r="M64" s="13" t="n">
        <v>1440.839086000336</v>
      </c>
      <c r="N64" s="13" t="n">
        <v>1240.799268200633</v>
      </c>
      <c r="O64" s="13" t="n">
        <v>1114.45941249635</v>
      </c>
      <c r="P64" s="13" t="n">
        <v>1060.845974515317</v>
      </c>
      <c r="Q64" s="13" t="n">
        <v>952.1122120182025</v>
      </c>
      <c r="R64" s="13" t="n">
        <v>854.8532605493604</v>
      </c>
      <c r="S64" s="13" t="n">
        <v>760.427861181921</v>
      </c>
      <c r="T64" s="13" t="n">
        <v>711.686732360462</v>
      </c>
      <c r="U64" s="13" t="n">
        <v>644.3397730906435</v>
      </c>
      <c r="V64" s="13" t="n">
        <v>403.6137298973738</v>
      </c>
    </row>
    <row r="65">
      <c r="A65" s="6" t="inlineStr">
        <is>
          <t>FCF</t>
        </is>
      </c>
      <c r="B65" s="7" t="inlineStr">
        <is>
          <t>млн руб.</t>
        </is>
      </c>
      <c r="C65" s="8" t="inlineStr">
        <is>
          <t>EBITDA − налог на прибыль − CAPEX</t>
        </is>
      </c>
      <c r="D65" s="9" t="n">
        <v>2118.782368995334</v>
      </c>
      <c r="E65" s="9" t="n">
        <v>2482.175637735733</v>
      </c>
      <c r="F65" s="9" t="n">
        <v>2385.69896748697</v>
      </c>
      <c r="G65" s="9" t="n">
        <v>1960.933231642986</v>
      </c>
      <c r="H65" s="9" t="n">
        <v>1674.647088604115</v>
      </c>
      <c r="I65" s="9" t="n">
        <v>1566.083881990644</v>
      </c>
      <c r="J65" s="9" t="n">
        <v>1432.811105629553</v>
      </c>
      <c r="K65" s="9" t="n">
        <v>1290.857248470029</v>
      </c>
      <c r="L65" s="9" t="n">
        <v>1172.79205331614</v>
      </c>
      <c r="M65" s="9" t="n">
        <v>1079.979314500252</v>
      </c>
      <c r="N65" s="9" t="n">
        <v>929.0454811504746</v>
      </c>
      <c r="O65" s="9" t="n">
        <v>835.8445593722628</v>
      </c>
      <c r="P65" s="9" t="n">
        <v>795.6344808864879</v>
      </c>
      <c r="Q65" s="9" t="n">
        <v>712.4301890136519</v>
      </c>
      <c r="R65" s="9" t="n">
        <v>640.2359754120203</v>
      </c>
      <c r="S65" s="9" t="n">
        <v>563.4129558864407</v>
      </c>
      <c r="T65" s="9" t="n">
        <v>533.7650492703465</v>
      </c>
      <c r="U65" s="9" t="n">
        <v>479.0429198179826</v>
      </c>
      <c r="V65" s="9" t="n">
        <v>300.9023574230303</v>
      </c>
    </row>
    <row r="66">
      <c r="A66" s="10" t="inlineStr">
        <is>
          <t>Коэффициент дисконтирования</t>
        </is>
      </c>
      <c r="B66" s="11" t="inlineStr">
        <is>
          <t>доля</t>
        </is>
      </c>
      <c r="C66" s="12" t="inlineStr">
        <is>
          <t>1 / (1 + WACC)^(год − стартовый год)</t>
        </is>
      </c>
      <c r="D66" s="21" t="n">
        <v>1</v>
      </c>
      <c r="E66" s="21" t="n">
        <v>0.9090909090909091</v>
      </c>
      <c r="F66" s="21" t="n">
        <v>0.8264462809917354</v>
      </c>
      <c r="G66" s="21" t="n">
        <v>0.7513148009015775</v>
      </c>
      <c r="H66" s="21" t="n">
        <v>0.6830134553650705</v>
      </c>
      <c r="I66" s="21" t="n">
        <v>0.6209213230591549</v>
      </c>
      <c r="J66" s="21" t="n">
        <v>0.5644739300537772</v>
      </c>
      <c r="K66" s="21" t="n">
        <v>0.5131581182307065</v>
      </c>
      <c r="L66" s="21" t="n">
        <v>0.4665073802097331</v>
      </c>
      <c r="M66" s="21" t="n">
        <v>0.4240976183724846</v>
      </c>
      <c r="N66" s="21" t="n">
        <v>0.3855432894295314</v>
      </c>
      <c r="O66" s="21" t="n">
        <v>0.3504938994813922</v>
      </c>
      <c r="P66" s="21" t="n">
        <v>0.3186308177103565</v>
      </c>
      <c r="Q66" s="21" t="n">
        <v>0.2896643797366877</v>
      </c>
      <c r="R66" s="21" t="n">
        <v>0.2633312543060797</v>
      </c>
      <c r="S66" s="21" t="n">
        <v>0.2393920493691633</v>
      </c>
      <c r="T66" s="21" t="n">
        <v>0.2176291357901485</v>
      </c>
      <c r="U66" s="21" t="n">
        <v>0.197844668900135</v>
      </c>
      <c r="V66" s="21" t="n">
        <v>0.1798587899092136</v>
      </c>
    </row>
    <row r="67">
      <c r="A67" s="6" t="inlineStr">
        <is>
          <t>ЧДД</t>
        </is>
      </c>
      <c r="B67" s="7" t="inlineStr">
        <is>
          <t>млн руб.</t>
        </is>
      </c>
      <c r="C67" s="8" t="inlineStr">
        <is>
          <t>FCF × коэффициент дисконтирования</t>
        </is>
      </c>
      <c r="D67" s="9" t="n">
        <v>2118.782368995334</v>
      </c>
      <c r="E67" s="9" t="n">
        <v>2256.523307032484</v>
      </c>
      <c r="F67" s="9" t="n">
        <v>1971.65203924543</v>
      </c>
      <c r="G67" s="9" t="n">
        <v>1473.278160513137</v>
      </c>
      <c r="H67" s="9" t="n">
        <v>1143.806494504552</v>
      </c>
      <c r="I67" s="9" t="n">
        <v>972.4148760272483</v>
      </c>
      <c r="J67" s="9" t="n">
        <v>808.7845158194115</v>
      </c>
      <c r="K67" s="9" t="n">
        <v>662.4138765293475</v>
      </c>
      <c r="L67" s="9" t="n">
        <v>547.1161483233059</v>
      </c>
      <c r="M67" s="9" t="n">
        <v>458.0166551711052</v>
      </c>
      <c r="N67" s="9" t="n">
        <v>358.1872508323957</v>
      </c>
      <c r="O67" s="9" t="n">
        <v>292.9584189746904</v>
      </c>
      <c r="P67" s="9" t="n">
        <v>253.5136652434167</v>
      </c>
      <c r="Q67" s="9" t="n">
        <v>206.3656488063307</v>
      </c>
      <c r="R67" s="9" t="n">
        <v>168.5941424571237</v>
      </c>
      <c r="S67" s="9" t="n">
        <v>134.8765821507931</v>
      </c>
      <c r="T67" s="9" t="n">
        <v>116.1628263876915</v>
      </c>
      <c r="U67" s="9" t="n">
        <v>94.77608786034267</v>
      </c>
      <c r="V67" s="9" t="n">
        <v>54.1199338869359</v>
      </c>
    </row>
    <row r="68">
      <c r="A68" s="10" t="inlineStr">
        <is>
          <t>Накопленный ЧДД</t>
        </is>
      </c>
      <c r="B68" s="11" t="inlineStr">
        <is>
          <t>млн руб.</t>
        </is>
      </c>
      <c r="C68" s="12" t="inlineStr">
        <is>
          <t>Накопительная сумма ЧДД</t>
        </is>
      </c>
      <c r="D68" s="13" t="n">
        <v>2118.782368995334</v>
      </c>
      <c r="E68" s="13" t="n">
        <v>4375.305676027819</v>
      </c>
      <c r="F68" s="13" t="n">
        <v>6346.957715273248</v>
      </c>
      <c r="G68" s="13" t="n">
        <v>7820.235875786386</v>
      </c>
      <c r="H68" s="13" t="n">
        <v>8964.042370290937</v>
      </c>
      <c r="I68" s="13" t="n">
        <v>9936.457246318187</v>
      </c>
      <c r="J68" s="13" t="n">
        <v>10745.2417621376</v>
      </c>
      <c r="K68" s="13" t="n">
        <v>11407.65563866695</v>
      </c>
      <c r="L68" s="13" t="n">
        <v>11954.77178699025</v>
      </c>
      <c r="M68" s="13" t="n">
        <v>12412.78844216136</v>
      </c>
      <c r="N68" s="13" t="n">
        <v>12770.97569299375</v>
      </c>
      <c r="O68" s="13" t="n">
        <v>13063.93411196844</v>
      </c>
      <c r="P68" s="13" t="n">
        <v>13317.44777721186</v>
      </c>
      <c r="Q68" s="13" t="n">
        <v>13523.81342601819</v>
      </c>
      <c r="R68" s="13" t="n">
        <v>13692.40756847532</v>
      </c>
      <c r="S68" s="13" t="n">
        <v>13827.28415062611</v>
      </c>
      <c r="T68" s="13" t="n">
        <v>13943.4469770138</v>
      </c>
      <c r="U68" s="13" t="n">
        <v>14038.22306487414</v>
      </c>
      <c r="V68" s="13" t="n">
        <v>14092.34299876108</v>
      </c>
    </row>
    <row r="69">
      <c r="A69" s="6" t="inlineStr">
        <is>
          <t>Дисконтированные притоки</t>
        </is>
      </c>
      <c r="B69" s="7" t="inlineStr">
        <is>
          <t>млн руб.</t>
        </is>
      </c>
      <c r="C69" s="8" t="inlineStr">
        <is>
          <t>Для расчета ИДДз</t>
        </is>
      </c>
      <c r="D69" s="9" t="n">
        <v>10216.17779385752</v>
      </c>
      <c r="E69" s="9" t="n">
        <v>10693.59646631515</v>
      </c>
      <c r="F69" s="9" t="n">
        <v>9272.554902037782</v>
      </c>
      <c r="G69" s="9" t="n">
        <v>7035.414127032446</v>
      </c>
      <c r="H69" s="9" t="n">
        <v>5560.483202431175</v>
      </c>
      <c r="I69" s="9" t="n">
        <v>4791.174031085436</v>
      </c>
      <c r="J69" s="9" t="n">
        <v>4024.198896517325</v>
      </c>
      <c r="K69" s="9" t="n">
        <v>3324.583647523771</v>
      </c>
      <c r="L69" s="9" t="n">
        <v>2769.211885718993</v>
      </c>
      <c r="M69" s="9" t="n">
        <v>2355.804259201772</v>
      </c>
      <c r="N69" s="9" t="n">
        <v>1888.739023255644</v>
      </c>
      <c r="O69" s="9" t="n">
        <v>1573.853090661926</v>
      </c>
      <c r="P69" s="9" t="n">
        <v>1378.332365792945</v>
      </c>
      <c r="Q69" s="9" t="n">
        <v>1154.431785400241</v>
      </c>
      <c r="R69" s="9" t="n">
        <v>964.3043357732355</v>
      </c>
      <c r="S69" s="9" t="n">
        <v>814.6918686001824</v>
      </c>
      <c r="T69" s="9" t="n">
        <v>695.5761404356799</v>
      </c>
      <c r="U69" s="9" t="n">
        <v>595.7498491520253</v>
      </c>
      <c r="V69" s="9" t="n">
        <v>344.7505548706504</v>
      </c>
    </row>
    <row r="70">
      <c r="A70" s="10" t="inlineStr">
        <is>
          <t>Дисконтированные оттоки</t>
        </is>
      </c>
      <c r="B70" s="11" t="inlineStr">
        <is>
          <t>млн руб.</t>
        </is>
      </c>
      <c r="C70" s="12" t="inlineStr">
        <is>
          <t>CAPEX + OPEX + отчисления + налог + положительные ДиР</t>
        </is>
      </c>
      <c r="D70" s="13" t="n">
        <v>8097.395424862184</v>
      </c>
      <c r="E70" s="13" t="n">
        <v>8437.073159282663</v>
      </c>
      <c r="F70" s="13" t="n">
        <v>7300.902862792351</v>
      </c>
      <c r="G70" s="13" t="n">
        <v>5562.135966519309</v>
      </c>
      <c r="H70" s="13" t="n">
        <v>4416.676707926623</v>
      </c>
      <c r="I70" s="13" t="n">
        <v>3818.759155058187</v>
      </c>
      <c r="J70" s="13" t="n">
        <v>3215.414380697914</v>
      </c>
      <c r="K70" s="13" t="n">
        <v>2662.169770994423</v>
      </c>
      <c r="L70" s="13" t="n">
        <v>2222.095737395687</v>
      </c>
      <c r="M70" s="13" t="n">
        <v>1897.787604030667</v>
      </c>
      <c r="N70" s="13" t="n">
        <v>1530.551772423249</v>
      </c>
      <c r="O70" s="13" t="n">
        <v>1280.894671687236</v>
      </c>
      <c r="P70" s="13" t="n">
        <v>1124.818700549528</v>
      </c>
      <c r="Q70" s="13" t="n">
        <v>948.0661365939102</v>
      </c>
      <c r="R70" s="13" t="n">
        <v>795.7101933161118</v>
      </c>
      <c r="S70" s="13" t="n">
        <v>679.8152864493893</v>
      </c>
      <c r="T70" s="13" t="n">
        <v>579.4133140479884</v>
      </c>
      <c r="U70" s="13" t="n">
        <v>500.9737612916826</v>
      </c>
      <c r="V70" s="13" t="n">
        <v>290.6306209837144</v>
      </c>
    </row>
    <row r="71">
      <c r="A71" s="6" t="inlineStr">
        <is>
          <t>ИДДз</t>
        </is>
      </c>
      <c r="B71" s="7" t="inlineStr">
        <is>
          <t>д. ед.</t>
        </is>
      </c>
      <c r="C71" s="8" t="inlineStr">
        <is>
          <t>Накопленные дисконтированные притоки / оттоки</t>
        </is>
      </c>
      <c r="D71" s="22" t="n">
        <v>1.261662208379974</v>
      </c>
      <c r="E71" s="22" t="n">
        <v>1.26461725417794</v>
      </c>
      <c r="F71" s="22" t="n">
        <v>1.266283146851853</v>
      </c>
      <c r="G71" s="22" t="n">
        <v>1.266016970956072</v>
      </c>
      <c r="H71" s="22" t="n">
        <v>1.265097106531171</v>
      </c>
      <c r="I71" s="22" t="n">
        <v>1.264036144431428</v>
      </c>
      <c r="J71" s="22" t="n">
        <v>1.263051989808937</v>
      </c>
      <c r="K71" s="22" t="n">
        <v>1.262181506705681</v>
      </c>
      <c r="L71" s="22" t="n">
        <v>1.26140577468561</v>
      </c>
      <c r="M71" s="22" t="n">
        <v>1.260606369787897</v>
      </c>
      <c r="N71" s="22" t="n">
        <v>1.259778796684207</v>
      </c>
      <c r="O71" s="22" t="n">
        <v>1.258989950679848</v>
      </c>
      <c r="P71" s="22" t="n">
        <v>1.258256859514566</v>
      </c>
      <c r="Q71" s="22" t="n">
        <v>1.257524133184019</v>
      </c>
      <c r="R71" s="22" t="n">
        <v>1.256842832729542</v>
      </c>
      <c r="S71" s="22" t="n">
        <v>1.25610697599886</v>
      </c>
      <c r="T71" s="22" t="n">
        <v>1.255516373949741</v>
      </c>
      <c r="U71" s="22" t="n">
        <v>1.254912950741742</v>
      </c>
      <c r="V71" s="22" t="n">
        <v>1.254552309271767</v>
      </c>
    </row>
    <row r="72">
      <c r="A72" s="23" t="inlineStr">
        <is>
          <t>Контроль расчета</t>
        </is>
      </c>
    </row>
    <row r="73">
      <c r="A73" s="6" t="inlineStr">
        <is>
          <t>FCF = EBITDA − налог на прибыль − CAPEX</t>
        </is>
      </c>
      <c r="B73" s="7" t="inlineStr">
        <is>
          <t>0 = ОК</t>
        </is>
      </c>
      <c r="C73" s="8" t="n"/>
      <c r="D73" s="24" t="n">
        <v>2.664535259100376e-13</v>
      </c>
      <c r="E73" s="24" t="n">
        <v>-3.446132268436486e-13</v>
      </c>
      <c r="F73" s="24" t="n">
        <v>-2.047251257408789e-13</v>
      </c>
      <c r="G73" s="24" t="n">
        <v>-2.047251257408789e-13</v>
      </c>
      <c r="H73" s="24" t="n">
        <v>2.309263891220326e-14</v>
      </c>
      <c r="I73" s="24" t="n">
        <v>1.740829702612245e-13</v>
      </c>
      <c r="J73" s="24" t="n">
        <v>-2.664535259100376e-14</v>
      </c>
      <c r="K73" s="24" t="n">
        <v>1.154631945610163e-14</v>
      </c>
      <c r="L73" s="24" t="n">
        <v>-1.13686837721616e-13</v>
      </c>
      <c r="M73" s="24" t="n">
        <v>1.932898285872398e-13</v>
      </c>
      <c r="N73" s="24" t="n">
        <v>-4.929390229335695e-14</v>
      </c>
      <c r="O73" s="24" t="n">
        <v>5.684341886080801e-14</v>
      </c>
      <c r="P73" s="24" t="n">
        <v>0</v>
      </c>
      <c r="Q73" s="24" t="n">
        <v>1.332267629550188e-14</v>
      </c>
      <c r="R73" s="24" t="n">
        <v>1.321165399303936e-14</v>
      </c>
      <c r="S73" s="24" t="n">
        <v>-2.486899575160351e-14</v>
      </c>
      <c r="T73" s="24" t="n">
        <v>-2.842170943040401e-14</v>
      </c>
      <c r="U73" s="24" t="n">
        <v>3.996802888650564e-14</v>
      </c>
      <c r="V73" s="24" t="n">
        <v>-4.463096558993129e-14</v>
      </c>
    </row>
    <row r="74">
      <c r="A74" s="10" t="inlineStr">
        <is>
          <t>Стоимость остановок/запусков = количество × 1 млн руб.</t>
        </is>
      </c>
      <c r="B74" s="11" t="inlineStr">
        <is>
          <t>0 = ОК</t>
        </is>
      </c>
      <c r="C74" s="12" t="n"/>
      <c r="D74" s="25" t="n">
        <v>0</v>
      </c>
      <c r="E74" s="25" t="n">
        <v>0</v>
      </c>
      <c r="F74" s="25" t="n">
        <v>0</v>
      </c>
      <c r="G74" s="25" t="n">
        <v>0</v>
      </c>
      <c r="H74" s="25" t="n">
        <v>0</v>
      </c>
      <c r="I74" s="25" t="n">
        <v>0</v>
      </c>
      <c r="J74" s="25" t="n">
        <v>0</v>
      </c>
      <c r="K74" s="25" t="n">
        <v>0</v>
      </c>
      <c r="L74" s="25" t="n">
        <v>0</v>
      </c>
      <c r="M74" s="25" t="n">
        <v>0</v>
      </c>
      <c r="N74" s="25" t="n">
        <v>0</v>
      </c>
      <c r="O74" s="25" t="n">
        <v>0</v>
      </c>
      <c r="P74" s="25" t="n">
        <v>0</v>
      </c>
      <c r="Q74" s="25" t="n">
        <v>0</v>
      </c>
      <c r="R74" s="25" t="n">
        <v>0</v>
      </c>
      <c r="S74" s="25" t="n">
        <v>0</v>
      </c>
      <c r="T74" s="25" t="n">
        <v>0</v>
      </c>
      <c r="U74" s="25" t="n">
        <v>0</v>
      </c>
      <c r="V74" s="25" t="n">
        <v>0</v>
      </c>
    </row>
    <row r="75">
      <c r="A75" s="6" t="inlineStr">
        <is>
          <t>Стоимость переводов = количество × 5 млн руб.</t>
        </is>
      </c>
      <c r="B75" s="7" t="inlineStr">
        <is>
          <t>0 = ОК</t>
        </is>
      </c>
      <c r="C75" s="8" t="n"/>
      <c r="D75" s="24" t="n">
        <v>0</v>
      </c>
      <c r="E75" s="24" t="n">
        <v>0</v>
      </c>
      <c r="F75" s="24" t="n">
        <v>0</v>
      </c>
      <c r="G75" s="24" t="n">
        <v>0</v>
      </c>
      <c r="H75" s="24" t="n">
        <v>0</v>
      </c>
      <c r="I75" s="24" t="n">
        <v>0</v>
      </c>
      <c r="J75" s="24" t="n">
        <v>0</v>
      </c>
      <c r="K75" s="24" t="n">
        <v>0</v>
      </c>
      <c r="L75" s="24" t="n">
        <v>0</v>
      </c>
      <c r="M75" s="24" t="n">
        <v>0</v>
      </c>
      <c r="N75" s="24" t="n">
        <v>0</v>
      </c>
      <c r="O75" s="24" t="n">
        <v>0</v>
      </c>
      <c r="P75" s="24" t="n">
        <v>0</v>
      </c>
      <c r="Q75" s="24" t="n">
        <v>0</v>
      </c>
      <c r="R75" s="24" t="n">
        <v>0</v>
      </c>
      <c r="S75" s="24" t="n">
        <v>0</v>
      </c>
      <c r="T75" s="24" t="n">
        <v>0</v>
      </c>
      <c r="U75" s="24" t="n">
        <v>0</v>
      </c>
      <c r="V75" s="24" t="n">
        <v>0</v>
      </c>
    </row>
  </sheetData>
  <mergeCells count="8">
    <mergeCell ref="A2:V2"/>
    <mergeCell ref="A51:V51"/>
    <mergeCell ref="A72:V72"/>
    <mergeCell ref="A41:V41"/>
    <mergeCell ref="A1:V1"/>
    <mergeCell ref="A6:V6"/>
    <mergeCell ref="A18:V18"/>
    <mergeCell ref="A3:V3"/>
  </mergeCells>
  <conditionalFormatting sqref="D6:V75">
    <cfRule type="cellIs" priority="1" operator="lessThan" dxfId="0">
      <formula>0</formula>
    </cfRule>
  </conditionalFormatting>
  <pageMargins left="0.75" right="0.75" top="1" bottom="1" header="0.5" footer="0.5"/>
  <pageSetup orientation="landscape" paperSize="8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2026-09-10T06:41:58Z</dcterms:created>
  <dcterms:modified xsi:type="dcterms:W3CDTF">2026-09-10T06:41:58Z</dcterms:modified>
</cp:coreProperties>
</file>