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ЧДД по годам" sheetId="1" state="visible" r:id="rId1"/>
  </sheets>
  <definedNames>
    <definedName name="_xlnm.Print_Area" localSheetId="0">'ЧДД по годам'!$A$1:$E$75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#,##0.000;[Red]-#,##0.000;–"/>
    <numFmt numFmtId="165" formatCode="#,##0;[Red]-#,##0;–"/>
    <numFmt numFmtId="166" formatCode="0.0&quot;%&quot;"/>
    <numFmt numFmtId="167" formatCode="0.000"/>
    <numFmt numFmtId="168" formatCode="0.000000;[Red]-0.000000;0.000000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2677B"/>
      <sz val="9"/>
    </font>
    <font>
      <b val="1"/>
      <color rgb="0017324D"/>
      <sz val="11"/>
    </font>
    <font>
      <b val="1"/>
      <color rgb="00FFFFFF"/>
    </font>
    <font>
      <b val="1"/>
      <color rgb="00FFFFFF"/>
      <sz val="11"/>
    </font>
    <font>
      <color rgb="0017324D"/>
    </font>
    <font>
      <i val="1"/>
      <color rgb="0066788A"/>
      <sz val="9"/>
    </font>
  </fonts>
  <fills count="11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DEBF7"/>
      </patternFill>
    </fill>
    <fill>
      <patternFill patternType="solid">
        <fgColor rgb="00284B63"/>
      </patternFill>
    </fill>
    <fill>
      <patternFill patternType="solid">
        <fgColor rgb="005B9BD5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4472C4"/>
      </patternFill>
    </fill>
    <fill>
      <patternFill patternType="solid">
        <fgColor rgb="007F8C8D"/>
      </patternFill>
    </fill>
    <fill>
      <patternFill patternType="solid">
        <fgColor rgb="00F7FAFC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4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6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 wrapText="1"/>
    </xf>
    <xf numFmtId="0" fontId="7" fillId="10" borderId="1" applyAlignment="1" pivotButton="0" quotePrefix="0" xfId="0">
      <alignment vertical="center" wrapText="1"/>
    </xf>
    <xf numFmtId="164" fontId="0" fillId="10" borderId="1" applyAlignment="1" pivotButton="0" quotePrefix="0" xfId="0">
      <alignment vertical="center"/>
    </xf>
    <xf numFmtId="165" fontId="0" fillId="10" borderId="1" applyAlignment="1" pivotButton="0" quotePrefix="0" xfId="0">
      <alignment vertical="center"/>
    </xf>
    <xf numFmtId="0" fontId="5" fillId="6" borderId="0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66" fontId="0" fillId="1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5" fillId="8" borderId="0" applyAlignment="1" pivotButton="0" quotePrefix="0" xfId="0">
      <alignment vertical="center"/>
    </xf>
    <xf numFmtId="167" fontId="0" fillId="1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4" fillId="9" borderId="0" pivotButton="0" quotePrefix="0" xfId="0"/>
    <xf numFmtId="168" fontId="0" fillId="0" borderId="1" applyAlignment="1" pivotButton="0" quotePrefix="0" xfId="0">
      <alignment vertical="center"/>
    </xf>
    <xf numFmtId="168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7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8" customWidth="1" min="2" max="2"/>
    <col width="58" customWidth="1" min="3" max="3"/>
    <col width="16" customWidth="1" min="4" max="4"/>
    <col width="16" customWidth="1" min="5" max="5"/>
  </cols>
  <sheetData>
    <row r="1" ht="30" customHeight="1">
      <c r="A1" s="1" t="inlineStr">
        <is>
          <t>РАСЧЕТ ЧИСТОГО ДИСКОНТИРОВАННОГО ДОХОДА (ЧДД)</t>
        </is>
      </c>
    </row>
    <row r="2">
      <c r="A2" s="2" t="inlineStr">
        <is>
          <t>Источник: /root/projects/TimesOil/results/audit-20260909/physical-only-monthly-y-20260910/opm/opm-full-replay-4769989869d96c2be60ba2ff/.chdd-d60pcmug/input.csv  |  Период: 2014–2015  |  Версия ядра: 7.0.2-negative-row-filter</t>
        </is>
      </c>
    </row>
    <row r="3" ht="24" customHeight="1">
      <c r="A3" s="3" t="inlineStr">
        <is>
          <t>Итоговый ЧДД: 1 596.778 млн руб.   |   ИДДз: 1.199   |   Остановки/запуски: 1 событий   |   Переводы под закачку: 0</t>
        </is>
      </c>
    </row>
    <row r="5" ht="34" customHeight="1">
      <c r="A5" s="4" t="inlineStr">
        <is>
          <t>Показатель</t>
        </is>
      </c>
      <c r="B5" s="4" t="inlineStr">
        <is>
          <t>Ед. изм.</t>
        </is>
      </c>
      <c r="C5" s="4" t="inlineStr">
        <is>
          <t>Методика / источник</t>
        </is>
      </c>
      <c r="D5" s="4" t="n">
        <v>2014</v>
      </c>
      <c r="E5" s="4" t="n">
        <v>2015</v>
      </c>
    </row>
    <row r="6" ht="22" customHeight="1">
      <c r="A6" s="5" t="inlineStr">
        <is>
          <t>Исходные производственные показатели</t>
        </is>
      </c>
    </row>
    <row r="7">
      <c r="A7" s="6" t="inlineStr">
        <is>
          <t>Накопленная добыча жидкости</t>
        </is>
      </c>
      <c r="B7" s="7" t="inlineStr">
        <is>
          <t>тыс. т</t>
        </is>
      </c>
      <c r="C7" s="8" t="inlineStr">
        <is>
          <t>Сумма последних счетчиков WLPT по скважинам на конец года</t>
        </is>
      </c>
      <c r="D7" s="9" t="n">
        <v>7576.691741203713</v>
      </c>
      <c r="E7" s="9" t="n">
        <v>9261.613252528867</v>
      </c>
    </row>
    <row r="8">
      <c r="A8" s="10" t="inlineStr">
        <is>
          <t>Накопленная добыча нефти</t>
        </is>
      </c>
      <c r="B8" s="11" t="inlineStr">
        <is>
          <t>тыс. т</t>
        </is>
      </c>
      <c r="C8" s="12" t="inlineStr">
        <is>
          <t>Сумма последних счетчиков WOMT по скважинам на конец года</t>
        </is>
      </c>
      <c r="D8" s="13" t="n">
        <v>1398.69750456384</v>
      </c>
      <c r="E8" s="13" t="n">
        <v>1541.264334811968</v>
      </c>
    </row>
    <row r="9">
      <c r="A9" s="6" t="inlineStr">
        <is>
          <t>Накопленная закачка воды</t>
        </is>
      </c>
      <c r="B9" s="7" t="inlineStr">
        <is>
          <t>тыс. м³</t>
        </is>
      </c>
      <c r="C9" s="8" t="inlineStr">
        <is>
          <t>Сумма последних счетчиков WWIT по скважинам на конец года</t>
        </is>
      </c>
      <c r="D9" s="9" t="n">
        <v>7880.80378125</v>
      </c>
      <c r="E9" s="9" t="n">
        <v>9539.92271875</v>
      </c>
    </row>
    <row r="10">
      <c r="A10" s="10" t="inlineStr">
        <is>
          <t>Добыча жидкости за год</t>
        </is>
      </c>
      <c r="B10" s="11" t="inlineStr">
        <is>
          <t>тыс. т</t>
        </is>
      </c>
      <c r="C10" s="12" t="inlineStr">
        <is>
          <t>Σ WLPT_Diff / 1 000</t>
        </is>
      </c>
      <c r="D10" s="13" t="n">
        <v>2022.420996930773</v>
      </c>
      <c r="E10" s="13" t="n">
        <v>1684.921511325153</v>
      </c>
    </row>
    <row r="11">
      <c r="A11" s="6" t="inlineStr">
        <is>
          <t>Добыча нефти за год</t>
        </is>
      </c>
      <c r="B11" s="7" t="inlineStr">
        <is>
          <t>тыс. т</t>
        </is>
      </c>
      <c r="C11" s="8" t="inlineStr">
        <is>
          <t>Σ WOMT_Diff / 1 000</t>
        </is>
      </c>
      <c r="D11" s="9" t="n">
        <v>214.274156900544</v>
      </c>
      <c r="E11" s="9" t="n">
        <v>142.566830248128</v>
      </c>
    </row>
    <row r="12">
      <c r="A12" s="10" t="inlineStr">
        <is>
          <t>Закачка воды за год</t>
        </is>
      </c>
      <c r="B12" s="11" t="inlineStr">
        <is>
          <t>тыс. м³</t>
        </is>
      </c>
      <c r="C12" s="12" t="inlineStr">
        <is>
          <t>Σ WWIT_Diff / 1 000</t>
        </is>
      </c>
      <c r="D12" s="13" t="n">
        <v>1991.6169375</v>
      </c>
      <c r="E12" s="13" t="n">
        <v>1659.1189375</v>
      </c>
    </row>
    <row r="13">
      <c r="A13" s="6" t="inlineStr">
        <is>
          <t>Средний действующий фонд</t>
        </is>
      </c>
      <c r="B13" s="7" t="inlineStr">
        <is>
          <t>скв.</t>
        </is>
      </c>
      <c r="C13" s="8" t="inlineStr">
        <is>
          <t>Активна при WLPR &gt; 0 или WWIR &gt; 0</t>
        </is>
      </c>
      <c r="D13" s="9" t="n">
        <v>48.25</v>
      </c>
      <c r="E13" s="9" t="n">
        <v>48</v>
      </c>
    </row>
    <row r="14">
      <c r="A14" s="10" t="inlineStr">
        <is>
          <t>Активный фонд</t>
        </is>
      </c>
      <c r="B14" s="11" t="inlineStr">
        <is>
          <t>скв.-мес.</t>
        </is>
      </c>
      <c r="C14" s="12" t="inlineStr">
        <is>
          <t>Σ активных скважин по месяцам</t>
        </is>
      </c>
      <c r="D14" s="14" t="n">
        <v>579</v>
      </c>
      <c r="E14" s="14" t="n">
        <v>528</v>
      </c>
    </row>
    <row r="15">
      <c r="A15" s="6" t="inlineStr">
        <is>
          <t>Средний дебит жидкости</t>
        </is>
      </c>
      <c r="B15" s="7" t="inlineStr">
        <is>
          <t>м³/сут</t>
        </is>
      </c>
      <c r="C15" s="8" t="inlineStr">
        <is>
          <t>Среднее по положительным WLPR</t>
        </is>
      </c>
      <c r="D15" s="9" t="n">
        <v>173.5799824315245</v>
      </c>
      <c r="E15" s="9" t="n">
        <v>158.5321977357955</v>
      </c>
    </row>
    <row r="16">
      <c r="A16" s="10" t="inlineStr">
        <is>
          <t>Средний дебит нефти</t>
        </is>
      </c>
      <c r="B16" s="11" t="inlineStr">
        <is>
          <t>т/сут</t>
        </is>
      </c>
      <c r="C16" s="12" t="inlineStr">
        <is>
          <t>Среднее по положительным WOMR</t>
        </is>
      </c>
      <c r="D16" s="13" t="n">
        <v>18.21779288326615</v>
      </c>
      <c r="E16" s="13" t="n">
        <v>13.34499574672727</v>
      </c>
    </row>
    <row r="17">
      <c r="A17" s="6" t="inlineStr">
        <is>
          <t>Средняя приемистость</t>
        </is>
      </c>
      <c r="B17" s="7" t="inlineStr">
        <is>
          <t>м³/сут</t>
        </is>
      </c>
      <c r="C17" s="8" t="inlineStr">
        <is>
          <t>Среднее по положительным WWIR</t>
        </is>
      </c>
      <c r="D17" s="9" t="n">
        <v>341.0506933958333</v>
      </c>
      <c r="E17" s="9" t="n">
        <v>310.4412742897727</v>
      </c>
    </row>
    <row r="18" ht="22" customHeight="1">
      <c r="A18" s="15" t="inlineStr">
        <is>
          <t>Действия с фондом и платные события</t>
        </is>
      </c>
    </row>
    <row r="19">
      <c r="A19" s="6" t="inlineStr">
        <is>
          <t>Установлено новых ЭЦН — всего</t>
        </is>
      </c>
      <c r="B19" s="7" t="inlineStr">
        <is>
          <t>шт.</t>
        </is>
      </c>
      <c r="C19" s="8" t="inlineStr">
        <is>
          <t>Платные замены ЭЦН; начальный насос не начисляется по умолчанию</t>
        </is>
      </c>
      <c r="D19" s="16" t="n">
        <v>30</v>
      </c>
      <c r="E19" s="16" t="n">
        <v>0</v>
      </c>
    </row>
    <row r="20">
      <c r="A20" s="10" t="inlineStr">
        <is>
          <t>Смен ЭЦН на больший типоразмер</t>
        </is>
      </c>
      <c r="B20" s="11" t="inlineStr">
        <is>
          <t>шт.</t>
        </is>
      </c>
      <c r="C20" s="12" t="inlineStr">
        <is>
          <t>При выходе дебита выше максимума текущего ЭЦН</t>
        </is>
      </c>
      <c r="D20" s="14" t="n">
        <v>30</v>
      </c>
      <c r="E20" s="14" t="n">
        <v>0</v>
      </c>
    </row>
    <row r="21">
      <c r="A21" s="6" t="inlineStr">
        <is>
          <t>Смен ЭЦН на меньший типоразмер</t>
        </is>
      </c>
      <c r="B21" s="7" t="inlineStr">
        <is>
          <t>шт.</t>
        </is>
      </c>
      <c r="C21" s="8" t="inlineStr">
        <is>
          <t>Только если min текущего ЭЦН − WLPR &gt; 100</t>
        </is>
      </c>
      <c r="D21" s="16" t="n">
        <v>0</v>
      </c>
      <c r="E21" s="16" t="n">
        <v>0</v>
      </c>
    </row>
    <row r="22">
      <c r="A22" s="10" t="inlineStr">
        <is>
          <t>Остановки скважин</t>
        </is>
      </c>
      <c r="B22" s="11" t="inlineStr">
        <is>
          <t>шт.</t>
        </is>
      </c>
      <c r="C22" s="12" t="inlineStr">
        <is>
          <t>Каждый переход активна → неактивна</t>
        </is>
      </c>
      <c r="D22" s="14" t="n">
        <v>1</v>
      </c>
      <c r="E22" s="14" t="n">
        <v>0</v>
      </c>
    </row>
    <row r="23">
      <c r="A23" s="6" t="inlineStr">
        <is>
          <t>Запуски скважин</t>
        </is>
      </c>
      <c r="B23" s="7" t="inlineStr">
        <is>
          <t>шт.</t>
        </is>
      </c>
      <c r="C23" s="8" t="inlineStr">
        <is>
          <t>Каждый переход неактивна → активна</t>
        </is>
      </c>
      <c r="D23" s="16" t="n">
        <v>0</v>
      </c>
      <c r="E23" s="16" t="n">
        <v>0</v>
      </c>
    </row>
    <row r="24">
      <c r="A24" s="10" t="inlineStr">
        <is>
          <t>Остановки и запуски — всего</t>
        </is>
      </c>
      <c r="B24" s="11" t="inlineStr">
        <is>
          <t>шт.</t>
        </is>
      </c>
      <c r="C24" s="12" t="inlineStr">
        <is>
          <t>Остановка и последующий запуск считаются двумя событиями</t>
        </is>
      </c>
      <c r="D24" s="14" t="n">
        <v>1</v>
      </c>
      <c r="E24" s="14" t="n">
        <v>0</v>
      </c>
    </row>
    <row r="25">
      <c r="A25" s="6" t="inlineStr">
        <is>
          <t>Переводы под закачку</t>
        </is>
      </c>
      <c r="B25" s="7" t="inlineStr">
        <is>
          <t>шт.</t>
        </is>
      </c>
      <c r="C25" s="8" t="inlineStr">
        <is>
          <t>Прямой переход добывающая → нагнетательная</t>
        </is>
      </c>
      <c r="D25" s="16" t="n">
        <v>0</v>
      </c>
      <c r="E25" s="16" t="n">
        <v>0</v>
      </c>
    </row>
    <row r="26">
      <c r="A26" s="10" t="inlineStr">
        <is>
          <t>Стоимость операций по смене ЭЦН</t>
        </is>
      </c>
      <c r="B26" s="11" t="inlineStr">
        <is>
          <t>млн руб.</t>
        </is>
      </c>
      <c r="C26" s="12" t="inlineStr">
        <is>
          <t>1,8 млн руб. за каждую замену</t>
        </is>
      </c>
      <c r="D26" s="13" t="n">
        <v>53.99999999999999</v>
      </c>
      <c r="E26" s="13" t="n">
        <v>0</v>
      </c>
    </row>
    <row r="27">
      <c r="A27" s="6" t="inlineStr">
        <is>
          <t>Стоимость остановок и запусков</t>
        </is>
      </c>
      <c r="B27" s="7" t="inlineStr">
        <is>
          <t>млн руб.</t>
        </is>
      </c>
      <c r="C27" s="8" t="inlineStr">
        <is>
          <t>1,0 млн руб. за каждое событие</t>
        </is>
      </c>
      <c r="D27" s="9" t="n">
        <v>1</v>
      </c>
      <c r="E27" s="9" t="n">
        <v>0</v>
      </c>
    </row>
    <row r="28">
      <c r="A28" s="10" t="inlineStr">
        <is>
          <t>Стоимость переводов под закачку</t>
        </is>
      </c>
      <c r="B28" s="11" t="inlineStr">
        <is>
          <t>млн руб.</t>
        </is>
      </c>
      <c r="C28" s="12" t="inlineStr">
        <is>
          <t>5,0 млн руб. за перевод; без старого ЭЦН и отдельной остановки</t>
        </is>
      </c>
      <c r="D28" s="13" t="n">
        <v>0</v>
      </c>
      <c r="E28" s="13" t="n">
        <v>0</v>
      </c>
    </row>
    <row r="29">
      <c r="A29" s="6" t="inlineStr">
        <is>
          <t>ЭЦН 15 м³/сут — установлено новых</t>
        </is>
      </c>
      <c r="B29" s="7" t="inlineStr">
        <is>
          <t>шт.</t>
        </is>
      </c>
      <c r="C29" s="8" t="inlineStr">
        <is>
          <t>Количество оплаченных новых насосов данного типоразмера</t>
        </is>
      </c>
      <c r="D29" s="16" t="n">
        <v>0</v>
      </c>
      <c r="E29" s="16" t="n">
        <v>0</v>
      </c>
    </row>
    <row r="30">
      <c r="A30" s="10" t="inlineStr">
        <is>
          <t>ЭЦН 20 м³/сут — установлено новых</t>
        </is>
      </c>
      <c r="B30" s="11" t="inlineStr">
        <is>
          <t>шт.</t>
        </is>
      </c>
      <c r="C30" s="12" t="inlineStr">
        <is>
          <t>Количество оплаченных новых насосов данного типоразмера</t>
        </is>
      </c>
      <c r="D30" s="14" t="n">
        <v>0</v>
      </c>
      <c r="E30" s="14" t="n">
        <v>0</v>
      </c>
    </row>
    <row r="31">
      <c r="A31" s="6" t="inlineStr">
        <is>
          <t>ЭЦН 30 м³/сут — установлено новых</t>
        </is>
      </c>
      <c r="B31" s="7" t="inlineStr">
        <is>
          <t>шт.</t>
        </is>
      </c>
      <c r="C31" s="8" t="inlineStr">
        <is>
          <t>Количество оплаченных новых насосов данного типоразмера</t>
        </is>
      </c>
      <c r="D31" s="16" t="n">
        <v>0</v>
      </c>
      <c r="E31" s="16" t="n">
        <v>0</v>
      </c>
    </row>
    <row r="32">
      <c r="A32" s="10" t="inlineStr">
        <is>
          <t>ЭЦН 50 м³/сут — установлено новых</t>
        </is>
      </c>
      <c r="B32" s="11" t="inlineStr">
        <is>
          <t>шт.</t>
        </is>
      </c>
      <c r="C32" s="12" t="inlineStr">
        <is>
          <t>Количество оплаченных новых насосов данного типоразмера</t>
        </is>
      </c>
      <c r="D32" s="14" t="n">
        <v>1</v>
      </c>
      <c r="E32" s="14" t="n">
        <v>0</v>
      </c>
    </row>
    <row r="33">
      <c r="A33" s="6" t="inlineStr">
        <is>
          <t>ЭЦН 80 м³/сут — установлено новых</t>
        </is>
      </c>
      <c r="B33" s="7" t="inlineStr">
        <is>
          <t>шт.</t>
        </is>
      </c>
      <c r="C33" s="8" t="inlineStr">
        <is>
          <t>Количество оплаченных новых насосов данного типоразмера</t>
        </is>
      </c>
      <c r="D33" s="16" t="n">
        <v>3</v>
      </c>
      <c r="E33" s="16" t="n">
        <v>0</v>
      </c>
    </row>
    <row r="34">
      <c r="A34" s="10" t="inlineStr">
        <is>
          <t>ЭЦН 100 м³/сут — установлено новых</t>
        </is>
      </c>
      <c r="B34" s="11" t="inlineStr">
        <is>
          <t>шт.</t>
        </is>
      </c>
      <c r="C34" s="12" t="inlineStr">
        <is>
          <t>Количество оплаченных новых насосов данного типоразмера</t>
        </is>
      </c>
      <c r="D34" s="14" t="n">
        <v>4</v>
      </c>
      <c r="E34" s="14" t="n">
        <v>0</v>
      </c>
    </row>
    <row r="35">
      <c r="A35" s="6" t="inlineStr">
        <is>
          <t>ЭЦН 125 м³/сут — установлено новых</t>
        </is>
      </c>
      <c r="B35" s="7" t="inlineStr">
        <is>
          <t>шт.</t>
        </is>
      </c>
      <c r="C35" s="8" t="inlineStr">
        <is>
          <t>Количество оплаченных новых насосов данного типоразмера</t>
        </is>
      </c>
      <c r="D35" s="16" t="n">
        <v>3</v>
      </c>
      <c r="E35" s="16" t="n">
        <v>0</v>
      </c>
    </row>
    <row r="36">
      <c r="A36" s="10" t="inlineStr">
        <is>
          <t>ЭЦН 160 м³/сут — установлено новых</t>
        </is>
      </c>
      <c r="B36" s="11" t="inlineStr">
        <is>
          <t>шт.</t>
        </is>
      </c>
      <c r="C36" s="12" t="inlineStr">
        <is>
          <t>Количество оплаченных новых насосов данного типоразмера</t>
        </is>
      </c>
      <c r="D36" s="14" t="n">
        <v>4</v>
      </c>
      <c r="E36" s="14" t="n">
        <v>0</v>
      </c>
    </row>
    <row r="37">
      <c r="A37" s="6" t="inlineStr">
        <is>
          <t>ЭЦН 210 м³/сут — установлено новых</t>
        </is>
      </c>
      <c r="B37" s="7" t="inlineStr">
        <is>
          <t>шт.</t>
        </is>
      </c>
      <c r="C37" s="8" t="inlineStr">
        <is>
          <t>Количество оплаченных новых насосов данного типоразмера</t>
        </is>
      </c>
      <c r="D37" s="16" t="n">
        <v>3</v>
      </c>
      <c r="E37" s="16" t="n">
        <v>0</v>
      </c>
    </row>
    <row r="38">
      <c r="A38" s="10" t="inlineStr">
        <is>
          <t>ЭЦН 250 м³/сут — установлено новых</t>
        </is>
      </c>
      <c r="B38" s="11" t="inlineStr">
        <is>
          <t>шт.</t>
        </is>
      </c>
      <c r="C38" s="12" t="inlineStr">
        <is>
          <t>Количество оплаченных новых насосов данного типоразмера</t>
        </is>
      </c>
      <c r="D38" s="14" t="n">
        <v>12</v>
      </c>
      <c r="E38" s="14" t="n">
        <v>0</v>
      </c>
    </row>
    <row r="39">
      <c r="A39" s="6" t="inlineStr">
        <is>
          <t>ЭЦН 320 м³/сут — установлено новых</t>
        </is>
      </c>
      <c r="B39" s="7" t="inlineStr">
        <is>
          <t>шт.</t>
        </is>
      </c>
      <c r="C39" s="8" t="inlineStr">
        <is>
          <t>Количество оплаченных новых насосов данного типоразмера</t>
        </is>
      </c>
      <c r="D39" s="16" t="n">
        <v>0</v>
      </c>
      <c r="E39" s="16" t="n">
        <v>0</v>
      </c>
    </row>
    <row r="40">
      <c r="A40" s="10" t="inlineStr">
        <is>
          <t>ЭЦН 400 м³/сут — установлено новых</t>
        </is>
      </c>
      <c r="B40" s="11" t="inlineStr">
        <is>
          <t>шт.</t>
        </is>
      </c>
      <c r="C40" s="12" t="inlineStr">
        <is>
          <t>Количество оплаченных новых насосов данного типоразмера</t>
        </is>
      </c>
      <c r="D40" s="14" t="n">
        <v>0</v>
      </c>
      <c r="E40" s="14" t="n">
        <v>0</v>
      </c>
    </row>
    <row r="41" ht="22" customHeight="1">
      <c r="A41" s="17" t="inlineStr">
        <is>
          <t>Исходные экономические нормативы</t>
        </is>
      </c>
    </row>
    <row r="42">
      <c r="A42" s="10" t="inlineStr">
        <is>
          <t>Приведенная цена реализации нефти</t>
        </is>
      </c>
      <c r="B42" s="11" t="inlineStr">
        <is>
          <t>руб./т</t>
        </is>
      </c>
      <c r="C42" s="12" t="inlineStr">
        <is>
          <t>Файл нормативов</t>
        </is>
      </c>
      <c r="D42" s="14" t="n">
        <v>28000</v>
      </c>
      <c r="E42" s="14" t="n">
        <v>28000</v>
      </c>
    </row>
    <row r="43">
      <c r="A43" s="6" t="inlineStr">
        <is>
          <t>Отчисления</t>
        </is>
      </c>
      <c r="B43" s="7" t="inlineStr">
        <is>
          <t>руб./т</t>
        </is>
      </c>
      <c r="C43" s="8" t="inlineStr">
        <is>
          <t>Файл нормативов</t>
        </is>
      </c>
      <c r="D43" s="16" t="n">
        <v>19600</v>
      </c>
      <c r="E43" s="16" t="n">
        <v>19600</v>
      </c>
    </row>
    <row r="44">
      <c r="A44" s="10" t="inlineStr">
        <is>
          <t>OPEX на нефть</t>
        </is>
      </c>
      <c r="B44" s="11" t="inlineStr">
        <is>
          <t>руб./т</t>
        </is>
      </c>
      <c r="C44" s="12" t="inlineStr">
        <is>
          <t>Файл нормативов</t>
        </is>
      </c>
      <c r="D44" s="14" t="n">
        <v>40</v>
      </c>
      <c r="E44" s="14" t="n">
        <v>40</v>
      </c>
    </row>
    <row r="45">
      <c r="A45" s="6" t="inlineStr">
        <is>
          <t>OPEX на жидкость</t>
        </is>
      </c>
      <c r="B45" s="7" t="inlineStr">
        <is>
          <t>руб./т</t>
        </is>
      </c>
      <c r="C45" s="8" t="inlineStr">
        <is>
          <t>Файл нормативов</t>
        </is>
      </c>
      <c r="D45" s="16" t="n">
        <v>100</v>
      </c>
      <c r="E45" s="16" t="n">
        <v>100</v>
      </c>
    </row>
    <row r="46">
      <c r="A46" s="10" t="inlineStr">
        <is>
          <t>OPEX на закачку</t>
        </is>
      </c>
      <c r="B46" s="11" t="inlineStr">
        <is>
          <t>руб./м³</t>
        </is>
      </c>
      <c r="C46" s="12" t="inlineStr">
        <is>
          <t>Файл нормативов</t>
        </is>
      </c>
      <c r="D46" s="14" t="n">
        <v>30</v>
      </c>
      <c r="E46" s="14" t="n">
        <v>30</v>
      </c>
    </row>
    <row r="47">
      <c r="A47" s="6" t="inlineStr">
        <is>
          <t>Содержание действующего фонда</t>
        </is>
      </c>
      <c r="B47" s="7" t="inlineStr">
        <is>
          <t>руб./скв.-год</t>
        </is>
      </c>
      <c r="C47" s="8" t="inlineStr">
        <is>
          <t>Файл нормативов</t>
        </is>
      </c>
      <c r="D47" s="16" t="n">
        <v>1000000</v>
      </c>
      <c r="E47" s="16" t="n">
        <v>1000000</v>
      </c>
    </row>
    <row r="48">
      <c r="A48" s="10" t="inlineStr">
        <is>
          <t>Ставка налога на прибыль</t>
        </is>
      </c>
      <c r="B48" s="11" t="inlineStr">
        <is>
          <t>%</t>
        </is>
      </c>
      <c r="C48" s="12" t="inlineStr">
        <is>
          <t>Файл нормативов</t>
        </is>
      </c>
      <c r="D48" s="18" t="n">
        <v>25</v>
      </c>
      <c r="E48" s="18" t="n">
        <v>25</v>
      </c>
    </row>
    <row r="49">
      <c r="A49" s="6" t="inlineStr">
        <is>
          <t>Ставка налога на имущество</t>
        </is>
      </c>
      <c r="B49" s="7" t="inlineStr">
        <is>
          <t>%</t>
        </is>
      </c>
      <c r="C49" s="8" t="inlineStr">
        <is>
          <t>Файл нормативов</t>
        </is>
      </c>
      <c r="D49" s="19" t="n">
        <v>2.2</v>
      </c>
      <c r="E49" s="19" t="n">
        <v>2.2</v>
      </c>
    </row>
    <row r="50">
      <c r="A50" s="10" t="inlineStr">
        <is>
          <t>WACC</t>
        </is>
      </c>
      <c r="B50" s="11" t="inlineStr">
        <is>
          <t>%</t>
        </is>
      </c>
      <c r="C50" s="12" t="inlineStr">
        <is>
          <t>Файл нормативов</t>
        </is>
      </c>
      <c r="D50" s="18" t="n">
        <v>10</v>
      </c>
      <c r="E50" s="18" t="n">
        <v>10</v>
      </c>
    </row>
    <row r="51" ht="22" customHeight="1">
      <c r="A51" s="20" t="inlineStr">
        <is>
          <t>Рассчитанные экономические показатели</t>
        </is>
      </c>
    </row>
    <row r="52">
      <c r="A52" s="10" t="inlineStr">
        <is>
          <t>Выручка от основной деятельности</t>
        </is>
      </c>
      <c r="B52" s="11" t="inlineStr">
        <is>
          <t>млн руб.</t>
        </is>
      </c>
      <c r="C52" s="12" t="inlineStr">
        <is>
          <t>Добыча нефти × цена</t>
        </is>
      </c>
      <c r="D52" s="13" t="n">
        <v>5999.676393215232</v>
      </c>
      <c r="E52" s="13" t="n">
        <v>3991.871246947585</v>
      </c>
    </row>
    <row r="53">
      <c r="A53" s="6" t="inlineStr">
        <is>
          <t>OPEX на нефть</t>
        </is>
      </c>
      <c r="B53" s="7" t="inlineStr">
        <is>
          <t>млн руб.</t>
        </is>
      </c>
      <c r="C53" s="8" t="inlineStr">
        <is>
          <t>Добыча нефти × норматив</t>
        </is>
      </c>
      <c r="D53" s="9" t="n">
        <v>8.570966276021759</v>
      </c>
      <c r="E53" s="9" t="n">
        <v>5.702673209925121</v>
      </c>
    </row>
    <row r="54">
      <c r="A54" s="10" t="inlineStr">
        <is>
          <t>OPEX на жидкость</t>
        </is>
      </c>
      <c r="B54" s="11" t="inlineStr">
        <is>
          <t>млн руб.</t>
        </is>
      </c>
      <c r="C54" s="12" t="inlineStr">
        <is>
          <t>Добыча жидкости × норматив</t>
        </is>
      </c>
      <c r="D54" s="13" t="n">
        <v>202.2420996930773</v>
      </c>
      <c r="E54" s="13" t="n">
        <v>168.4921511325153</v>
      </c>
    </row>
    <row r="55">
      <c r="A55" s="6" t="inlineStr">
        <is>
          <t>OPEX на закачку</t>
        </is>
      </c>
      <c r="B55" s="7" t="inlineStr">
        <is>
          <t>млн руб.</t>
        </is>
      </c>
      <c r="C55" s="8" t="inlineStr">
        <is>
          <t>Закачка × норматив</t>
        </is>
      </c>
      <c r="D55" s="9" t="n">
        <v>59.748508125</v>
      </c>
      <c r="E55" s="9" t="n">
        <v>49.773568125</v>
      </c>
    </row>
    <row r="56">
      <c r="A56" s="10" t="inlineStr">
        <is>
          <t>Содержание действующего фонда</t>
        </is>
      </c>
      <c r="B56" s="11" t="inlineStr">
        <is>
          <t>млн руб.</t>
        </is>
      </c>
      <c r="C56" s="12" t="inlineStr">
        <is>
          <t>Активные скважино-месяцы × годовой норматив / 12</t>
        </is>
      </c>
      <c r="D56" s="13" t="n">
        <v>48.25</v>
      </c>
      <c r="E56" s="13" t="n">
        <v>44</v>
      </c>
    </row>
    <row r="57">
      <c r="A57" s="6" t="inlineStr">
        <is>
          <t>Налог на имущество</t>
        </is>
      </c>
      <c r="B57" s="7" t="inlineStr">
        <is>
          <t>млн руб.</t>
        </is>
      </c>
      <c r="C57" s="8" t="inlineStr">
        <is>
          <t>((ОС нач. + ОС кон.) / 2) × 2,2%</t>
        </is>
      </c>
      <c r="D57" s="9" t="n">
        <v>0</v>
      </c>
      <c r="E57" s="9" t="n">
        <v>0</v>
      </c>
    </row>
    <row r="58">
      <c r="A58" s="10" t="inlineStr">
        <is>
          <t>Полный OPEX</t>
        </is>
      </c>
      <c r="B58" s="11" t="inlineStr">
        <is>
          <t>млн руб.</t>
        </is>
      </c>
      <c r="C58" s="12" t="inlineStr">
        <is>
          <t>Все операционные затраты, включая события</t>
        </is>
      </c>
      <c r="D58" s="13" t="n">
        <v>373.8115740940991</v>
      </c>
      <c r="E58" s="13" t="n">
        <v>267.9683924674405</v>
      </c>
    </row>
    <row r="59">
      <c r="A59" s="6" t="inlineStr">
        <is>
          <t>CAPEX новых ЭЦН</t>
        </is>
      </c>
      <c r="B59" s="7" t="inlineStr">
        <is>
          <t>млн руб.</t>
        </is>
      </c>
      <c r="C59" s="8" t="inlineStr">
        <is>
          <t>Стоимость установленных новых насосов</t>
        </is>
      </c>
      <c r="D59" s="9" t="n">
        <v>106.60397</v>
      </c>
      <c r="E59" s="9" t="n">
        <v>0</v>
      </c>
    </row>
    <row r="60">
      <c r="A60" s="10" t="inlineStr">
        <is>
          <t>Амортизация</t>
        </is>
      </c>
      <c r="B60" s="11" t="inlineStr">
        <is>
          <t>млн руб.</t>
        </is>
      </c>
      <c r="C60" s="12" t="inlineStr">
        <is>
          <t>Годовой норматив / 12 по имеющимся месяцам</t>
        </is>
      </c>
      <c r="D60" s="13" t="n">
        <v>0</v>
      </c>
      <c r="E60" s="13" t="n">
        <v>0</v>
      </c>
    </row>
    <row r="61">
      <c r="A61" s="6" t="inlineStr">
        <is>
          <t>Отчисления</t>
        </is>
      </c>
      <c r="B61" s="7" t="inlineStr">
        <is>
          <t>млн руб.</t>
        </is>
      </c>
      <c r="C61" s="8" t="inlineStr">
        <is>
          <t>Добыча нефти × норматив</t>
        </is>
      </c>
      <c r="D61" s="9" t="n">
        <v>4199.773475250662</v>
      </c>
      <c r="E61" s="9" t="n">
        <v>2794.309872863309</v>
      </c>
    </row>
    <row r="62">
      <c r="A62" s="10" t="inlineStr">
        <is>
          <t>Прибыль до налогообложения</t>
        </is>
      </c>
      <c r="B62" s="11" t="inlineStr">
        <is>
          <t>млн руб.</t>
        </is>
      </c>
      <c r="C62" s="12" t="inlineStr">
        <is>
          <t>Выручка − OPEX − амортизация − отчисления − ДиР</t>
        </is>
      </c>
      <c r="D62" s="13" t="n">
        <v>1426.091343870471</v>
      </c>
      <c r="E62" s="13" t="n">
        <v>929.5929816168349</v>
      </c>
    </row>
    <row r="63">
      <c r="A63" s="6" t="inlineStr">
        <is>
          <t>Налог на прибыль</t>
        </is>
      </c>
      <c r="B63" s="7" t="inlineStr">
        <is>
          <t>млн руб.</t>
        </is>
      </c>
      <c r="C63" s="8" t="inlineStr">
        <is>
          <t>max(0; годовая налоговая база) × 25%</t>
        </is>
      </c>
      <c r="D63" s="9" t="n">
        <v>356.5228359676177</v>
      </c>
      <c r="E63" s="9" t="n">
        <v>232.3982454042087</v>
      </c>
    </row>
    <row r="64">
      <c r="A64" s="10" t="inlineStr">
        <is>
          <t>EBITDA</t>
        </is>
      </c>
      <c r="B64" s="11" t="inlineStr">
        <is>
          <t>млн руб.</t>
        </is>
      </c>
      <c r="C64" s="12" t="inlineStr">
        <is>
          <t>Выручка − OPEX − отчисления − ДиР в EBITDA</t>
        </is>
      </c>
      <c r="D64" s="13" t="n">
        <v>1426.091343870471</v>
      </c>
      <c r="E64" s="13" t="n">
        <v>929.5929816168349</v>
      </c>
    </row>
    <row r="65">
      <c r="A65" s="6" t="inlineStr">
        <is>
          <t>FCF</t>
        </is>
      </c>
      <c r="B65" s="7" t="inlineStr">
        <is>
          <t>млн руб.</t>
        </is>
      </c>
      <c r="C65" s="8" t="inlineStr">
        <is>
          <t>EBITDA − налог на прибыль − CAPEX</t>
        </is>
      </c>
      <c r="D65" s="9" t="n">
        <v>962.964537902853</v>
      </c>
      <c r="E65" s="9" t="n">
        <v>697.1947362126261</v>
      </c>
    </row>
    <row r="66">
      <c r="A66" s="10" t="inlineStr">
        <is>
          <t>Коэффициент дисконтирования</t>
        </is>
      </c>
      <c r="B66" s="11" t="inlineStr">
        <is>
          <t>доля</t>
        </is>
      </c>
      <c r="C66" s="12" t="inlineStr">
        <is>
          <t>1 / (1 + WACC)^(год − стартовый год)</t>
        </is>
      </c>
      <c r="D66" s="21" t="n">
        <v>1</v>
      </c>
      <c r="E66" s="21" t="n">
        <v>0.9090909090909091</v>
      </c>
    </row>
    <row r="67">
      <c r="A67" s="6" t="inlineStr">
        <is>
          <t>ЧДД</t>
        </is>
      </c>
      <c r="B67" s="7" t="inlineStr">
        <is>
          <t>млн руб.</t>
        </is>
      </c>
      <c r="C67" s="8" t="inlineStr">
        <is>
          <t>FCF × коэффициент дисконтирования</t>
        </is>
      </c>
      <c r="D67" s="9" t="n">
        <v>962.964537902853</v>
      </c>
      <c r="E67" s="9" t="n">
        <v>633.8133965569328</v>
      </c>
    </row>
    <row r="68">
      <c r="A68" s="10" t="inlineStr">
        <is>
          <t>Накопленный ЧДД</t>
        </is>
      </c>
      <c r="B68" s="11" t="inlineStr">
        <is>
          <t>млн руб.</t>
        </is>
      </c>
      <c r="C68" s="12" t="inlineStr">
        <is>
          <t>Накопительная сумма ЧДД</t>
        </is>
      </c>
      <c r="D68" s="13" t="n">
        <v>962.964537902853</v>
      </c>
      <c r="E68" s="13" t="n">
        <v>1596.777934459786</v>
      </c>
    </row>
    <row r="69">
      <c r="A69" s="6" t="inlineStr">
        <is>
          <t>Дисконтированные притоки</t>
        </is>
      </c>
      <c r="B69" s="7" t="inlineStr">
        <is>
          <t>млн руб.</t>
        </is>
      </c>
      <c r="C69" s="8" t="inlineStr">
        <is>
          <t>Для расчета ИДДз</t>
        </is>
      </c>
      <c r="D69" s="9" t="n">
        <v>5999.676393215232</v>
      </c>
      <c r="E69" s="9" t="n">
        <v>3628.973860861441</v>
      </c>
    </row>
    <row r="70">
      <c r="A70" s="10" t="inlineStr">
        <is>
          <t>Дисконтированные оттоки</t>
        </is>
      </c>
      <c r="B70" s="11" t="inlineStr">
        <is>
          <t>млн руб.</t>
        </is>
      </c>
      <c r="C70" s="12" t="inlineStr">
        <is>
          <t>CAPEX + OPEX + отчисления + налог + положительные ДиР</t>
        </is>
      </c>
      <c r="D70" s="13" t="n">
        <v>5036.711855312378</v>
      </c>
      <c r="E70" s="13" t="n">
        <v>2995.160464304508</v>
      </c>
    </row>
    <row r="71">
      <c r="A71" s="6" t="inlineStr">
        <is>
          <t>ИДДз</t>
        </is>
      </c>
      <c r="B71" s="7" t="inlineStr">
        <is>
          <t>д. ед.</t>
        </is>
      </c>
      <c r="C71" s="8" t="inlineStr">
        <is>
          <t>Накопленные дисконтированные притоки / оттоки</t>
        </is>
      </c>
      <c r="D71" s="22" t="n">
        <v>1.191189126073826</v>
      </c>
      <c r="E71" s="22" t="n">
        <v>1.198805193972002</v>
      </c>
    </row>
    <row r="72">
      <c r="A72" s="23" t="inlineStr">
        <is>
          <t>Контроль расчета</t>
        </is>
      </c>
    </row>
    <row r="73">
      <c r="A73" s="6" t="inlineStr">
        <is>
          <t>FCF = EBITDA − налог на прибыль − CAPEX</t>
        </is>
      </c>
      <c r="B73" s="7" t="inlineStr">
        <is>
          <t>0 = ОК</t>
        </is>
      </c>
      <c r="C73" s="8" t="n"/>
      <c r="D73" s="24" t="n">
        <v>-1.4210854715202e-14</v>
      </c>
      <c r="E73" s="24" t="n">
        <v>-2.842170943040401e-14</v>
      </c>
    </row>
    <row r="74">
      <c r="A74" s="10" t="inlineStr">
        <is>
          <t>Стоимость остановок/запусков = количество × 1 млн руб.</t>
        </is>
      </c>
      <c r="B74" s="11" t="inlineStr">
        <is>
          <t>0 = ОК</t>
        </is>
      </c>
      <c r="C74" s="12" t="n"/>
      <c r="D74" s="25" t="n">
        <v>0</v>
      </c>
      <c r="E74" s="25" t="n">
        <v>0</v>
      </c>
    </row>
    <row r="75">
      <c r="A75" s="6" t="inlineStr">
        <is>
          <t>Стоимость переводов = количество × 5 млн руб.</t>
        </is>
      </c>
      <c r="B75" s="7" t="inlineStr">
        <is>
          <t>0 = ОК</t>
        </is>
      </c>
      <c r="C75" s="8" t="n"/>
      <c r="D75" s="24" t="n">
        <v>0</v>
      </c>
      <c r="E75" s="24" t="n">
        <v>0</v>
      </c>
    </row>
  </sheetData>
  <mergeCells count="8">
    <mergeCell ref="A2:E2"/>
    <mergeCell ref="A72:E72"/>
    <mergeCell ref="A41:E41"/>
    <mergeCell ref="A51:E51"/>
    <mergeCell ref="A1:E1"/>
    <mergeCell ref="A6:E6"/>
    <mergeCell ref="A18:E18"/>
    <mergeCell ref="A3:E3"/>
  </mergeCells>
  <conditionalFormatting sqref="D6:E75">
    <cfRule type="cellIs" priority="1" operator="lessThan" dxfId="0">
      <formula>0</formula>
    </cfRule>
  </conditionalFormatting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2026-09-10T07:25:27Z</dcterms:created>
  <dcterms:modified xsi:type="dcterms:W3CDTF">2026-09-10T07:25:27Z</dcterms:modified>
</cp:coreProperties>
</file>